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a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<sst xmlns="http://schemas.openxmlformats.org/spreadsheetml/2006/main" count="54" uniqueCount="36">
  <si>
    <t xml:space="preserve">Alignment Healthcare: contract-level model (inputs blue; CMS October 2026 enrollment, 2027 rate book, Star Ratings)</t>
  </si>
  <si>
    <t xml:space="preserve">Company 2027E revenue ($m)</t>
  </si>
  <si>
    <t xml:space="preserve">H3815 risk score (2024 plan payment data)</t>
  </si>
  <si>
    <t xml:space="preserve">Rebate share at 3.5 to 4 stars</t>
  </si>
  <si>
    <t xml:space="preserve">Contract</t>
  </si>
  <si>
    <t xml:space="preserve">State</t>
  </si>
  <si>
    <t xml:space="preserve">Members Oct 2026</t>
  </si>
  <si>
    <t xml:space="preserve">Share</t>
  </si>
  <si>
    <t xml:space="preserve">Stars 2026</t>
  </si>
  <si>
    <t xml:space="preserve">Stars 2027</t>
  </si>
  <si>
    <t xml:space="preserve">Bonus in 2027</t>
  </si>
  <si>
    <t xml:space="preserve">Bonus in 2028</t>
  </si>
  <si>
    <t xml:space="preserve">Benchmark, no bonus ($pmpm)</t>
  </si>
  <si>
    <t xml:space="preserve">Bonus lift ($pmpm)</t>
  </si>
  <si>
    <t xml:space="preserve">Allocation weight</t>
  </si>
  <si>
    <t xml:space="preserve">2027E revenue ($m)</t>
  </si>
  <si>
    <t xml:space="preserve">2028 bonus lost, gross ($m)</t>
  </si>
  <si>
    <t xml:space="preserve">2028 bonus lost, rebate dollars ($m)</t>
  </si>
  <si>
    <t xml:space="preserve">H3815</t>
  </si>
  <si>
    <t xml:space="preserve">CA</t>
  </si>
  <si>
    <t xml:space="preserve">Yes</t>
  </si>
  <si>
    <t xml:space="preserve">No</t>
  </si>
  <si>
    <t xml:space="preserve">H5296</t>
  </si>
  <si>
    <t xml:space="preserve">NC</t>
  </si>
  <si>
    <t xml:space="preserve">H5472</t>
  </si>
  <si>
    <t xml:space="preserve">AZ</t>
  </si>
  <si>
    <t xml:space="preserve">H3443</t>
  </si>
  <si>
    <t xml:space="preserve">H4961</t>
  </si>
  <si>
    <t xml:space="preserve">H9686</t>
  </si>
  <si>
    <t xml:space="preserve">NV</t>
  </si>
  <si>
    <t xml:space="preserve">H8832</t>
  </si>
  <si>
    <t xml:space="preserve">H7074</t>
  </si>
  <si>
    <t xml:space="preserve">-</t>
  </si>
  <si>
    <t xml:space="preserve">Not enough data available</t>
  </si>
  <si>
    <t xml:space="preserve">Total</t>
  </si>
  <si>
    <t xml:space="preserve">Share of members in bonus-earning contracts, 2028 payments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</si>
</sst>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#,##0.0"/>
    <numFmt numFmtId="168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E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2" t="n">
        <v>6475.5</v>
      </c>
    </row>
    <row r="3" customFormat="false" ht="15" hidden="false" customHeight="false" outlineLevel="0" collapsed="false">
      <c r="A3" s="0" t="s">
        <v>2</v>
      </c>
      <c r="B3" s="2" t="n">
        <v>1.0992</v>
      </c>
    </row>
    <row r="4" customFormat="false" ht="15" hidden="false" customHeight="false" outlineLevel="0" collapsed="false">
      <c r="A4" s="0" t="s">
        <v>3</v>
      </c>
      <c r="B4" s="2" t="n">
        <v>0.65</v>
      </c>
    </row>
    <row r="6" customFormat="false" ht="15" hidden="false" customHeight="false" outlineLevel="0" collapsed="false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</row>
    <row r="7" customFormat="false" ht="15" hidden="false" customHeight="false" outlineLevel="0" collapsed="false">
      <c r="A7" s="0" t="s">
        <v>18</v>
      </c>
      <c r="B7" s="0" t="s">
        <v>19</v>
      </c>
      <c r="C7" s="2" t="n">
        <v>225609</v>
      </c>
      <c r="D7" s="4" t="n">
        <f aca="false">C7/SUM($C$7:$C$14)</f>
        <v>0.749140813595566</v>
      </c>
      <c r="E7" s="2" t="n">
        <v>4</v>
      </c>
      <c r="F7" s="2" t="n">
        <v>3.5</v>
      </c>
      <c r="G7" s="2" t="s">
        <v>20</v>
      </c>
      <c r="H7" s="2" t="s">
        <v>21</v>
      </c>
      <c r="I7" s="2" t="n">
        <v>1352.73</v>
      </c>
      <c r="J7" s="2" t="n">
        <v>69.09</v>
      </c>
      <c r="K7" s="5" t="n">
        <f aca="false">C7*(I7+IF(G7="Yes",J7,0))</f>
        <v>320775388.38</v>
      </c>
      <c r="L7" s="5" t="n">
        <f aca="false">$B$2*K7/SUM($K$7:$K$14)</f>
        <v>4855.87006377939</v>
      </c>
      <c r="M7" s="6" t="n">
        <f aca="false">IF(AND(G7="Yes",H7="No"),C7*J7*$B$3*12/1000000,0)</f>
        <v>205.603062364224</v>
      </c>
      <c r="N7" s="6" t="n">
        <f aca="false">M7*$B$4</f>
        <v>133.641990536746</v>
      </c>
    </row>
    <row r="8" customFormat="false" ht="15" hidden="false" customHeight="false" outlineLevel="0" collapsed="false">
      <c r="A8" s="0" t="s">
        <v>22</v>
      </c>
      <c r="B8" s="0" t="s">
        <v>23</v>
      </c>
      <c r="C8" s="2" t="n">
        <v>33433</v>
      </c>
      <c r="D8" s="4" t="n">
        <f aca="false">C8/SUM($C$7:$C$14)</f>
        <v>0.111015184770734</v>
      </c>
      <c r="E8" s="2" t="n">
        <v>5</v>
      </c>
      <c r="F8" s="2" t="n">
        <v>4.5</v>
      </c>
      <c r="G8" s="2" t="s">
        <v>20</v>
      </c>
      <c r="H8" s="2" t="s">
        <v>20</v>
      </c>
      <c r="I8" s="2" t="n">
        <v>1366.37</v>
      </c>
      <c r="J8" s="2" t="n">
        <v>70.07</v>
      </c>
      <c r="K8" s="5" t="n">
        <f aca="false">C8*(I8+IF(G8="Yes",J8,0))</f>
        <v>48024498.52</v>
      </c>
      <c r="L8" s="5" t="n">
        <f aca="false">$B$2*K8/SUM($K$7:$K$14)</f>
        <v>726.990701715024</v>
      </c>
      <c r="M8" s="6" t="n">
        <f aca="false">IF(AND(G8="Yes",H8="No"),C8*J8*1*12/1000000,0)</f>
        <v>0</v>
      </c>
      <c r="N8" s="6" t="n">
        <f aca="false">M8*$B$4</f>
        <v>0</v>
      </c>
    </row>
    <row r="9" customFormat="false" ht="15" hidden="false" customHeight="false" outlineLevel="0" collapsed="false">
      <c r="A9" s="0" t="s">
        <v>24</v>
      </c>
      <c r="B9" s="0" t="s">
        <v>25</v>
      </c>
      <c r="C9" s="2" t="n">
        <v>10791</v>
      </c>
      <c r="D9" s="4" t="n">
        <f aca="false">C9/SUM($C$7:$C$14)</f>
        <v>0.0358318086579425</v>
      </c>
      <c r="E9" s="2" t="n">
        <v>4.5</v>
      </c>
      <c r="F9" s="2" t="n">
        <v>4.5</v>
      </c>
      <c r="G9" s="2" t="s">
        <v>20</v>
      </c>
      <c r="H9" s="2" t="s">
        <v>20</v>
      </c>
      <c r="I9" s="2" t="n">
        <v>1271.01</v>
      </c>
      <c r="J9" s="2" t="n">
        <v>117.9</v>
      </c>
      <c r="K9" s="5" t="n">
        <f aca="false">C9*(I9+IF(G9="Yes",J9,0))</f>
        <v>14987727.81</v>
      </c>
      <c r="L9" s="5" t="n">
        <f aca="false">$B$2*K9/SUM($K$7:$K$14)</f>
        <v>226.882926287466</v>
      </c>
      <c r="M9" s="6" t="n">
        <f aca="false">IF(AND(G9="Yes",H9="No"),C9*J9*1*12/1000000,0)</f>
        <v>0</v>
      </c>
      <c r="N9" s="6" t="n">
        <f aca="false">M9*$B$4</f>
        <v>0</v>
      </c>
    </row>
    <row r="10" customFormat="false" ht="15" hidden="false" customHeight="false" outlineLevel="0" collapsed="false">
      <c r="A10" s="0" t="s">
        <v>26</v>
      </c>
      <c r="B10" s="0" t="s">
        <v>25</v>
      </c>
      <c r="C10" s="2" t="n">
        <v>10685</v>
      </c>
      <c r="D10" s="4" t="n">
        <f aca="false">C10/SUM($C$7:$C$14)</f>
        <v>0.0354798327782519</v>
      </c>
      <c r="E10" s="2" t="n">
        <v>4</v>
      </c>
      <c r="F10" s="2" t="n">
        <v>4</v>
      </c>
      <c r="G10" s="2" t="s">
        <v>20</v>
      </c>
      <c r="H10" s="2" t="s">
        <v>20</v>
      </c>
      <c r="I10" s="2" t="n">
        <v>1294.08</v>
      </c>
      <c r="J10" s="2" t="n">
        <v>77.07</v>
      </c>
      <c r="K10" s="5" t="n">
        <f aca="false">C10*(I10+IF(G10="Yes",J10,0))</f>
        <v>14650737.75</v>
      </c>
      <c r="L10" s="5" t="n">
        <f aca="false">$B$2*K10/SUM($K$7:$K$14)</f>
        <v>221.781599928205</v>
      </c>
      <c r="M10" s="6" t="n">
        <f aca="false">IF(AND(G10="Yes",H10="No"),C10*J10*1*12/1000000,0)</f>
        <v>0</v>
      </c>
      <c r="N10" s="6" t="n">
        <f aca="false">M10*$B$4</f>
        <v>0</v>
      </c>
    </row>
    <row r="11" customFormat="false" ht="15" hidden="false" customHeight="false" outlineLevel="0" collapsed="false">
      <c r="A11" s="0" t="s">
        <v>27</v>
      </c>
      <c r="B11" s="0" t="s">
        <v>19</v>
      </c>
      <c r="C11" s="2" t="n">
        <v>8009</v>
      </c>
      <c r="D11" s="4" t="n">
        <f aca="false">C11/SUM($C$7:$C$14)</f>
        <v>0.0265941020796462</v>
      </c>
      <c r="E11" s="2" t="n">
        <v>4</v>
      </c>
      <c r="F11" s="2" t="n">
        <v>4.5</v>
      </c>
      <c r="G11" s="2" t="s">
        <v>20</v>
      </c>
      <c r="H11" s="2" t="s">
        <v>20</v>
      </c>
      <c r="I11" s="2" t="n">
        <v>1302.96</v>
      </c>
      <c r="J11" s="2" t="n">
        <v>67.79</v>
      </c>
      <c r="K11" s="5" t="n">
        <f aca="false">C11*(I11+IF(G11="Yes",J11,0))</f>
        <v>10978336.75</v>
      </c>
      <c r="L11" s="5" t="n">
        <f aca="false">$B$2*K11/SUM($K$7:$K$14)</f>
        <v>166.18911146407</v>
      </c>
      <c r="M11" s="6" t="n">
        <f aca="false">IF(AND(G11="Yes",H11="No"),C11*J11*1*12/1000000,0)</f>
        <v>0</v>
      </c>
      <c r="N11" s="6" t="n">
        <f aca="false">M11*$B$4</f>
        <v>0</v>
      </c>
    </row>
    <row r="12" customFormat="false" ht="15" hidden="false" customHeight="false" outlineLevel="0" collapsed="false">
      <c r="A12" s="0" t="s">
        <v>28</v>
      </c>
      <c r="B12" s="0" t="s">
        <v>29</v>
      </c>
      <c r="C12" s="2" t="n">
        <v>6818</v>
      </c>
      <c r="D12" s="4" t="n">
        <f aca="false">C12/SUM($C$7:$C$14)</f>
        <v>0.0226393542238766</v>
      </c>
      <c r="E12" s="2" t="n">
        <v>5</v>
      </c>
      <c r="F12" s="2" t="n">
        <v>4</v>
      </c>
      <c r="G12" s="2" t="s">
        <v>20</v>
      </c>
      <c r="H12" s="2" t="s">
        <v>20</v>
      </c>
      <c r="I12" s="2" t="n">
        <v>1392.63</v>
      </c>
      <c r="J12" s="2" t="n">
        <v>89.9</v>
      </c>
      <c r="K12" s="5" t="n">
        <f aca="false">C12*(I12+IF(G12="Yes",J12,0))</f>
        <v>10107889.54</v>
      </c>
      <c r="L12" s="5" t="n">
        <f aca="false">$B$2*K12/SUM($K$7:$K$14)</f>
        <v>153.012356942828</v>
      </c>
      <c r="M12" s="6" t="n">
        <f aca="false">IF(AND(G12="Yes",H12="No"),C12*J12*1*12/1000000,0)</f>
        <v>0</v>
      </c>
      <c r="N12" s="6" t="n">
        <f aca="false">M12*$B$4</f>
        <v>0</v>
      </c>
    </row>
    <row r="13" customFormat="false" ht="15" hidden="false" customHeight="false" outlineLevel="0" collapsed="false">
      <c r="A13" s="0" t="s">
        <v>30</v>
      </c>
      <c r="B13" s="0" t="s">
        <v>19</v>
      </c>
      <c r="C13" s="2" t="n">
        <v>4945</v>
      </c>
      <c r="D13" s="4" t="n">
        <f aca="false">C13/SUM($C$7:$C$14)</f>
        <v>0.016420006840286</v>
      </c>
      <c r="E13" s="2" t="n">
        <v>4.14</v>
      </c>
      <c r="F13" s="2" t="n">
        <v>4</v>
      </c>
      <c r="G13" s="2" t="s">
        <v>20</v>
      </c>
      <c r="H13" s="2" t="s">
        <v>20</v>
      </c>
      <c r="I13" s="2" t="n">
        <v>1370.12</v>
      </c>
      <c r="J13" s="2" t="n">
        <v>71.99</v>
      </c>
      <c r="K13" s="5" t="n">
        <f aca="false">C13*(I13+IF(G13="Yes",J13,0))</f>
        <v>7131233.95</v>
      </c>
      <c r="L13" s="5" t="n">
        <f aca="false">$B$2*K13/SUM($K$7:$K$14)</f>
        <v>107.952002273287</v>
      </c>
      <c r="M13" s="6" t="n">
        <f aca="false">IF(AND(G13="Yes",H13="No"),C13*J13*1*12/1000000,0)</f>
        <v>0</v>
      </c>
      <c r="N13" s="6" t="n">
        <f aca="false">M13*$B$4</f>
        <v>0</v>
      </c>
    </row>
    <row r="14" customFormat="false" ht="15" hidden="false" customHeight="false" outlineLevel="0" collapsed="false">
      <c r="A14" s="0" t="s">
        <v>31</v>
      </c>
      <c r="B14" s="0" t="s">
        <v>23</v>
      </c>
      <c r="C14" s="2" t="n">
        <v>867</v>
      </c>
      <c r="D14" s="4" t="n">
        <f aca="false">C14/SUM($C$7:$C$14)</f>
        <v>0.00287889705369625</v>
      </c>
      <c r="E14" s="2" t="s">
        <v>32</v>
      </c>
      <c r="F14" s="2" t="s">
        <v>33</v>
      </c>
      <c r="G14" s="2" t="s">
        <v>21</v>
      </c>
      <c r="H14" s="2" t="s">
        <v>21</v>
      </c>
      <c r="I14" s="2" t="n">
        <v>1281.66</v>
      </c>
      <c r="J14" s="2" t="n">
        <v>61.24</v>
      </c>
      <c r="K14" s="5" t="n">
        <f aca="false">C14*(I14+IF(G14="Yes",J14,0))</f>
        <v>1111199.22</v>
      </c>
      <c r="L14" s="5" t="n">
        <f aca="false">$B$2*K14/SUM($K$7:$K$14)</f>
        <v>16.8212376097288</v>
      </c>
      <c r="M14" s="6" t="n">
        <f aca="false">IF(AND(G14="Yes",H14="No"),C14*J14*1*12/1000000,0)</f>
        <v>0</v>
      </c>
      <c r="N14" s="6" t="n">
        <f aca="false">M14*$B$4</f>
        <v>0</v>
      </c>
    </row>
    <row r="15" customFormat="false" ht="15" hidden="false" customHeight="false" outlineLevel="0" collapsed="false">
      <c r="A15" s="1" t="s">
        <v>34</v>
      </c>
      <c r="C15" s="1" t="n">
        <f aca="false">SUM(C7:C14)</f>
        <v>301157</v>
      </c>
      <c r="K15" s="1" t="n">
        <f aca="false">SUM(K7:K14)</f>
        <v>427767011.92</v>
      </c>
      <c r="L15" s="1" t="n">
        <f aca="false">SUM(L7:L14)</f>
        <v>6475.5</v>
      </c>
      <c r="M15" s="1" t="n">
        <f aca="false">SUM(M7:M14)</f>
        <v>205.603062364224</v>
      </c>
      <c r="N15" s="1" t="n">
        <f aca="false">SUM(N7:N14)</f>
        <v>133.641990536746</v>
      </c>
    </row>
    <row r="17" customFormat="false" ht="15" hidden="false" customHeight="false" outlineLevel="0" collapsed="false">
      <c r="A17" s="0" t="s">
        <v>35</v>
      </c>
      <c r="B17" s="7" t="n">
        <f aca="false">SUMIF(H7:H14,"Yes",C7:C14)/C15</f>
        <v>0.247980289350737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2026-10-17T20:32:19Z</dcterms:created>
  <dc:creator>openpyxl</dc:creator>
  <dc:description/>
  <dc:language>en-US</dc:language>
  <cp:lastModifiedBy/>
  <dcterms:modified xsi:type="dcterms:W3CDTF">2026-10-17T20:32:19Z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