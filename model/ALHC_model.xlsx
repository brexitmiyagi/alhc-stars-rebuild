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BR Bridge" sheetId="2" state="visible" r:id="rId4"/>
    <sheet name="Model" sheetId="3" state="visible" r:id="rId5"/>
    <sheet name="Statutory Capital" sheetId="4" state="visible" r:id="rId6"/>
    <sheet name="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<sst xmlns="http://schemas.openxmlformats.org/spreadsheetml/2006/main" count="304" uniqueCount="295">
  <si>
    <t xml:space="preserve">ALHC model inputs (blue = hardcoded input; yellow = key assumption). $ in millions unless noted.</t>
  </si>
  <si>
    <t xml:space="preserve">Input</t>
  </si>
  <si>
    <t xml:space="preserve">Value</t>
  </si>
  <si>
    <t xml:space="preserve">Source / note</t>
  </si>
  <si>
    <t xml:space="preserve">price</t>
  </si>
  <si>
    <t xml:space="preserve">Nasdaq close 16 Oct 2026 (Yahoo chart API; Google Finance)</t>
  </si>
  <si>
    <t xml:space="preserve">price_sep14</t>
  </si>
  <si>
    <t xml:space="preserve">Close 14 Sep 2026 (S&amp;P Global via StockAnalysis; Yahoo)</t>
  </si>
  <si>
    <t xml:space="preserve">price_oct8</t>
  </si>
  <si>
    <t xml:space="preserve">Close 8 Oct 2026</t>
  </si>
  <si>
    <t xml:space="preserve">basic_shares</t>
  </si>
  <si>
    <t xml:space="preserve">Shares outstanding 27 Jul 2026, 10-Q cover (m)</t>
  </si>
  <si>
    <t xml:space="preserve">q3_rev_guide_mid</t>
  </si>
  <si>
    <t xml:space="preserve">Q3 2026 revenue guidance $1,300-1,320m (Q2 release)</t>
  </si>
  <si>
    <t xml:space="preserve">q3_gp_guide_mid</t>
  </si>
  <si>
    <t xml:space="preserve">Q3 2026 adj. gross profit guidance $148-158m (Q2 call)</t>
  </si>
  <si>
    <t xml:space="preserve">q3_ebitda_guide_mid</t>
  </si>
  <si>
    <t xml:space="preserve">Q3 2026 adj. EBITDA guidance $20-30m</t>
  </si>
  <si>
    <t xml:space="preserve">q3_members_mid</t>
  </si>
  <si>
    <t xml:space="preserve">Q3 2026 membership guidance 295.5-297.5k</t>
  </si>
  <si>
    <t xml:space="preserve">fy26_rev_guide_mid</t>
  </si>
  <si>
    <t xml:space="preserve">FY2026 revenue guidance $5,195-5,225m</t>
  </si>
  <si>
    <t xml:space="preserve">fy26_gp_guide_mid</t>
  </si>
  <si>
    <t xml:space="preserve">FY2026 adj. gross profit guidance $630-650m (Q2 call)</t>
  </si>
  <si>
    <t xml:space="preserve">fy26_ebitda_guide_mid</t>
  </si>
  <si>
    <t xml:space="preserve">FY2026 adj. EBITDA guidance $145-163m</t>
  </si>
  <si>
    <t xml:space="preserve">fy26_members_mid</t>
  </si>
  <si>
    <t xml:space="preserve">FY2026 membership guidance 298-301k</t>
  </si>
  <si>
    <t xml:space="preserve">my_q3_mbr</t>
  </si>
  <si>
    <t xml:space="preserve">Author: Q3 at the low end of gross-profit guidance (costs ran hot Jul-Aug, Baird 15 Sep)</t>
  </si>
  <si>
    <t xml:space="preserve">my_q4_mbr</t>
  </si>
  <si>
    <t xml:space="preserve">Author: Q4 MBR that puts FY2026 adj. EBITDA at ~$145m, the low end of guidance</t>
  </si>
  <si>
    <t xml:space="preserve">g27</t>
  </si>
  <si>
    <t xml:space="preserve">Author: Dec-27 vs Dec-26 membership growth. Management targets ~20% (Q2 call); consensus revenue implies ~17%</t>
  </si>
  <si>
    <t xml:space="preserve">g28</t>
  </si>
  <si>
    <t xml:space="preserve">Author assumption: 2028 membership growth</t>
  </si>
  <si>
    <t xml:space="preserve">jan_share</t>
  </si>
  <si>
    <t xml:space="preserve">Author: share of the year's growth that lands on 1 Jan (annual enrollment period)</t>
  </si>
  <si>
    <t xml:space="preserve">rate27</t>
  </si>
  <si>
    <t xml:space="preserve">CMS CY2027 Rate Announcement: +4.98% incl. risk score trend (fact sheet 6 Apr 2026)</t>
  </si>
  <si>
    <t xml:space="preserve">rate28</t>
  </si>
  <si>
    <t xml:space="preserve">Author assumption: 2028 revenue PMPM growth (2028 rate notice not out until Apr 2027)</t>
  </si>
  <si>
    <t xml:space="preserve">sga27</t>
  </si>
  <si>
    <t xml:space="preserve">Author: adj. SG&amp;A % revenue 2027 (2026 guidance midpoint ~9.3%)</t>
  </si>
  <si>
    <t xml:space="preserve">sga28</t>
  </si>
  <si>
    <t xml:space="preserve">Author: adj. SG&amp;A % revenue 2028</t>
  </si>
  <si>
    <t xml:space="preserve">mbr28_delta</t>
  </si>
  <si>
    <t xml:space="preserve">Author: 2028 MBR change vs 2027 before the stars hit</t>
  </si>
  <si>
    <t xml:space="preserve">stars28</t>
  </si>
  <si>
    <t xml:space="preserve">value_v8.py: expected 2028 stars margin hit, blend of paths (A 77% x 75% x $133.6m, B none)</t>
  </si>
  <si>
    <t xml:space="preserve">stars_cost_ps</t>
  </si>
  <si>
    <t xml:space="preserve">value_v8.py: PV of the downgrade per share, blend (A 50%, B 25%/25%)</t>
  </si>
  <si>
    <t xml:space="preserve">da_growth</t>
  </si>
  <si>
    <t xml:space="preserve">Author: D&amp;A growth a year</t>
  </si>
  <si>
    <t xml:space="preserve">sbc_growth</t>
  </si>
  <si>
    <t xml:space="preserve">Author: stock comp growth a year</t>
  </si>
  <si>
    <t xml:space="preserve">dil_q</t>
  </si>
  <si>
    <t xml:space="preserve">Author: diluted share growth a quarter (SBC dilution)</t>
  </si>
  <si>
    <t xml:space="preserve">tax_gaap</t>
  </si>
  <si>
    <t xml:space="preserve">Effective tax H1 2026 2.6% (10-Q); NOLs shelter federal tax</t>
  </si>
  <si>
    <t xml:space="preserve">tax_norm</t>
  </si>
  <si>
    <t xml:space="preserve">Author: normalized tax rate to compare with tax-paying peers</t>
  </si>
  <si>
    <t xml:space="preserve">ar_pct</t>
  </si>
  <si>
    <t xml:space="preserve">Receivables / Q2 2026 revenue (10-Q)</t>
  </si>
  <si>
    <t xml:space="preserve">prep_pct</t>
  </si>
  <si>
    <t xml:space="preserve">Prepaid &amp; other / Q2 2026 revenue (10-Q)</t>
  </si>
  <si>
    <t xml:space="preserve">ap_pct</t>
  </si>
  <si>
    <t xml:space="preserve">AP &amp; accrued / Q2 2026 revenue (10-Q)</t>
  </si>
  <si>
    <t xml:space="preserve">dcp_days</t>
  </si>
  <si>
    <t xml:space="preserve">Days claims payable Q2 2026 (MEP / quarterly medical x 91; ops_model.py)</t>
  </si>
  <si>
    <t xml:space="preserve">capex_q</t>
  </si>
  <si>
    <t xml:space="preserve">Capex a quarter (H1 2026 $17.5m, 10-Q cash flow)</t>
  </si>
  <si>
    <t xml:space="preserve">accretion_q</t>
  </si>
  <si>
    <t xml:space="preserve">Debt-cost amortization a quarter (H1 2026 $1.15m)</t>
  </si>
  <si>
    <t xml:space="preserve">parent_cash</t>
  </si>
  <si>
    <t xml:space="preserve">Operating parent cash &amp; ST investments 30 Jun 2026 (10-Q); held flat</t>
  </si>
  <si>
    <t xml:space="preserve">revolver</t>
  </si>
  <si>
    <t xml:space="preserve">Citibank senior secured revolver, matures 26 Feb 2029, undrawn 30 Jun 2026 (10-Q)</t>
  </si>
  <si>
    <t xml:space="preserve">convert_face</t>
  </si>
  <si>
    <t xml:space="preserve">4.25% convertible notes due 15 Nov 2029</t>
  </si>
  <si>
    <t xml:space="preserve">nol_fed</t>
  </si>
  <si>
    <t xml:space="preserve">Federal NOLs 31 Dec 2025 (10-K)</t>
  </si>
  <si>
    <t xml:space="preserve">nol_pv_factor</t>
  </si>
  <si>
    <t xml:space="preserve">Author: NOLs used over ~4 years, 10% discount</t>
  </si>
  <si>
    <t xml:space="preserve">ca_share</t>
  </si>
  <si>
    <t xml:space="preserve">Author: California share of premium (H3815 was 75% of members, Oct 2026 CMS file; plus H6697/H8832)</t>
  </si>
  <si>
    <t xml:space="preserve">cap_share_low</t>
  </si>
  <si>
    <t xml:space="preserve">TNE check: share of CA medical spend paid on a capitated basis (low case)</t>
  </si>
  <si>
    <t xml:space="preserve">cap_share_high</t>
  </si>
  <si>
    <t xml:space="preserve">TNE check: capitated share (high case); not disclosed</t>
  </si>
  <si>
    <t xml:space="preserve">egr27</t>
  </si>
  <si>
    <t xml:space="preserve">CMS CY2027 effective growth rate (Original Medicare per-capita cost trend), fact sheet</t>
  </si>
  <si>
    <t xml:space="preserve">retention</t>
  </si>
  <si>
    <t xml:space="preserve">Author: annual member retention (H3815 voluntary disenrollment 10% plus deaths)</t>
  </si>
  <si>
    <t xml:space="preserve">g26_growth</t>
  </si>
  <si>
    <t xml:space="preserve">Membership growth Q2 2026 y/y 31.5% (Q2 release)</t>
  </si>
  <si>
    <t xml:space="preserve">gp_now</t>
  </si>
  <si>
    <t xml:space="preserve">Adj. gross profit at 2026 guidance midpoint (Q2 call)</t>
  </si>
  <si>
    <t xml:space="preserve">gp_embedded</t>
  </si>
  <si>
    <t xml:space="preserve">Management's embedded gross-profit potential of current book (Q2 call)</t>
  </si>
  <si>
    <t xml:space="preserve">maturity_haircut</t>
  </si>
  <si>
    <t xml:space="preserve">Author: credit given to management's maturity estimate in the base case</t>
  </si>
  <si>
    <t xml:space="preserve">benefit_change</t>
  </si>
  <si>
    <t xml:space="preserve">Author: 2027 benefit trims (CMS landscape: MOOP up on 2 of 8 matched LA plans, drug deductible added on 2)</t>
  </si>
  <si>
    <t xml:space="preserve">cost_persist</t>
  </si>
  <si>
    <t xml:space="preserve">Author: share of H2-2026 MBR pressure that persists into 2027 (base)</t>
  </si>
  <si>
    <t xml:space="preserve">2027 medical benefit ratio bridge (MBR = adjusted medical cost / revenue)</t>
  </si>
  <si>
    <t xml:space="preserve">Step</t>
  </si>
  <si>
    <t xml:space="preserve">Bear</t>
  </si>
  <si>
    <t xml:space="preserve">Base</t>
  </si>
  <si>
    <t xml:space="preserve">Bull</t>
  </si>
  <si>
    <t xml:space="preserve">How it is built</t>
  </si>
  <si>
    <t xml:space="preserve">2026E MBR (model)</t>
  </si>
  <si>
    <t xml:space="preserve">My FY2026 estimate (Model sheet); guidance midpoint implies ~87.7%</t>
  </si>
  <si>
    <t xml:space="preserve">Members in year 1-2, 2026</t>
  </si>
  <si>
    <t xml:space="preserve">Steady-state share at 31.5% growth, 88% retention: new + second-year members</t>
  </si>
  <si>
    <t xml:space="preserve">Members in year 1-2, 2027</t>
  </si>
  <si>
    <t xml:space="preserve">Same at 2027 growth</t>
  </si>
  <si>
    <t xml:space="preserve">New vs mature MBR gap</t>
  </si>
  <si>
    <t xml:space="preserve">From management's $880m vs $640m: half the book is new, so new-member GP is lower by 2x(880-640) per the whole book</t>
  </si>
  <si>
    <t xml:space="preserve">Maturity (mix) effect</t>
  </si>
  <si>
    <t xml:space="preserve">Fewer early-tenure members as growth slows; bear gives no credit, base half, bull full</t>
  </si>
  <si>
    <t xml:space="preserve">Rate vs cost trend</t>
  </si>
  <si>
    <t xml:space="preserve">Cost per member grows with CMS effective growth rate 5.33% vs revenue +4.98%; bear adds 0.6 pts of trend</t>
  </si>
  <si>
    <t xml:space="preserve">2027 benefit design</t>
  </si>
  <si>
    <t xml:space="preserve">Bids filed June 2026: modest trims in the 2027 plan data</t>
  </si>
  <si>
    <t xml:space="preserve">H2-2026 cost pressure carried</t>
  </si>
  <si>
    <t xml:space="preserve">H2-2026 MBR above full year: all of it persists (bear), half (base), none (bull)</t>
  </si>
  <si>
    <t xml:space="preserve">2027E MBR</t>
  </si>
  <si>
    <t xml:space="preserve">Alignment Healthcare quarterly model ($m unless noted; members in thousands)</t>
  </si>
  <si>
    <t xml:space="preserve">Line</t>
  </si>
  <si>
    <t xml:space="preserve">Note</t>
  </si>
  <si>
    <t xml:space="preserve">Q1'26A</t>
  </si>
  <si>
    <t xml:space="preserve">Q2'26A</t>
  </si>
  <si>
    <t xml:space="preserve">Q3'26E</t>
  </si>
  <si>
    <t xml:space="preserve">Q4'26E</t>
  </si>
  <si>
    <t xml:space="preserve">Q1'27E</t>
  </si>
  <si>
    <t xml:space="preserve">Q2'27E</t>
  </si>
  <si>
    <t xml:space="preserve">Q3'27E</t>
  </si>
  <si>
    <t xml:space="preserve">Q4'27E</t>
  </si>
  <si>
    <t xml:space="preserve">Q1'28E</t>
  </si>
  <si>
    <t xml:space="preserve">Q2'28E</t>
  </si>
  <si>
    <t xml:space="preserve">Q3'28E</t>
  </si>
  <si>
    <t xml:space="preserve">Q4'28E</t>
  </si>
  <si>
    <t xml:space="preserve">FY26</t>
  </si>
  <si>
    <t xml:space="preserve">FY27</t>
  </si>
  <si>
    <t xml:space="preserve">FY28</t>
  </si>
  <si>
    <t xml:space="preserve">H2-26</t>
  </si>
  <si>
    <t xml:space="preserve">Ending members (k)</t>
  </si>
  <si>
    <t xml:space="preserve">Q2 actual 294,100 (release); Q3/Q4 guidance midpoints; 2027-28 growth inputs</t>
  </si>
  <si>
    <t xml:space="preserve">Average members (k)</t>
  </si>
  <si>
    <t xml:space="preserve">Average of quarter ends; Q1 = quarter end because the January step lands on 1 Jan</t>
  </si>
  <si>
    <t xml:space="preserve">Revenue PMPM ($)</t>
  </si>
  <si>
    <t xml:space="preserve">2026 from guidance; 2027 = H2-26 PMPM x (1 + 4.98%); 2028 = 2027 x (1 + rate28)</t>
  </si>
  <si>
    <t xml:space="preserve">Revenue</t>
  </si>
  <si>
    <t xml:space="preserve">Q1/Q2 actual (10-Q); Q3 guidance midpoint; Q4 = FY guide less 9M</t>
  </si>
  <si>
    <t xml:space="preserve">Adj. gross profit (actual/guide)</t>
  </si>
  <si>
    <t xml:space="preserve">Q1 = H1 approx $329m less Q2 $183m (Q2 call); Q2 reported</t>
  </si>
  <si>
    <t xml:space="preserve">Adj. MBR</t>
  </si>
  <si>
    <t xml:space="preserve">2027 quarters keep the 2026 seasonal shape around the bridge result; 2028 = 2027 + delta</t>
  </si>
  <si>
    <t xml:space="preserve">Adj. medical cost</t>
  </si>
  <si>
    <t xml:space="preserve">Adj. gross profit</t>
  </si>
  <si>
    <t xml:space="preserve">Adj. SG&amp;A</t>
  </si>
  <si>
    <t xml:space="preserve">Actual = GP less EBITDA; Q3 guide-implied; Q4 = FY guide-implied less 9M; then % of revenue</t>
  </si>
  <si>
    <t xml:space="preserve">Adj. EBITDA before stars</t>
  </si>
  <si>
    <t xml:space="preserve">Q1/Q2 reported (Q2 release: H1 $106.0m, Q2 $68.1m)</t>
  </si>
  <si>
    <t xml:space="preserve">Expected 2028 stars hit</t>
  </si>
  <si>
    <t xml:space="preserve">Blend of paths, lawsuit odds 25% (value_v8.py)</t>
  </si>
  <si>
    <t xml:space="preserve">Adj. EBITDA</t>
  </si>
  <si>
    <t xml:space="preserve">D&amp;A</t>
  </si>
  <si>
    <t xml:space="preserve">Q1/Q2 10-Q</t>
  </si>
  <si>
    <t xml:space="preserve">Interest expense</t>
  </si>
  <si>
    <t xml:space="preserve">Q1/Q2 10-Q; revolver undrawn</t>
  </si>
  <si>
    <t xml:space="preserve">Stock-based compensation</t>
  </si>
  <si>
    <t xml:space="preserve">Q1/Q2 10-Q (H1 $32.2m)</t>
  </si>
  <si>
    <t xml:space="preserve">Pre-tax income (approx. GAAP)</t>
  </si>
  <si>
    <t xml:space="preserve">Q1/Q2 reported pre-tax (10-Q)</t>
  </si>
  <si>
    <t xml:space="preserve">Income tax</t>
  </si>
  <si>
    <t xml:space="preserve">Net income</t>
  </si>
  <si>
    <t xml:space="preserve">Adj. net income (EBITDA - D&amp;A - interest)</t>
  </si>
  <si>
    <t xml:space="preserve">Matches the consensus adj. EPS definition used in ops_model.py</t>
  </si>
  <si>
    <t xml:space="preserve">Diluted shares (m)</t>
  </si>
  <si>
    <t xml:space="preserve">Q2 10-Q 215.0m; Q1 approx.</t>
  </si>
  <si>
    <t xml:space="preserve">Adj. EPS ($)</t>
  </si>
  <si>
    <t xml:space="preserve">GAAP EPS ($)</t>
  </si>
  <si>
    <t xml:space="preserve">Balance sheet (quarter end)</t>
  </si>
  <si>
    <t xml:space="preserve">Cash and equivalents</t>
  </si>
  <si>
    <t xml:space="preserve">30 Jun 2026 10-Q; then cash flow</t>
  </si>
  <si>
    <t xml:space="preserve">Accounts receivable</t>
  </si>
  <si>
    <t xml:space="preserve">Investments, current</t>
  </si>
  <si>
    <t xml:space="preserve">Prepaid and other current</t>
  </si>
  <si>
    <t xml:space="preserve">Property and equipment</t>
  </si>
  <si>
    <t xml:space="preserve">Right-of-use, goodwill, intangibles, other</t>
  </si>
  <si>
    <t xml:space="preserve">Total assets</t>
  </si>
  <si>
    <t xml:space="preserve">Medical expenses payable</t>
  </si>
  <si>
    <t xml:space="preserve">Days claims payable held at 48.3</t>
  </si>
  <si>
    <t xml:space="preserve">Accounts payable and accrued</t>
  </si>
  <si>
    <t xml:space="preserve">Accrued compensation and leases</t>
  </si>
  <si>
    <t xml:space="preserve">Convertible notes (carrying)</t>
  </si>
  <si>
    <t xml:space="preserve">Accretes to $330m face</t>
  </si>
  <si>
    <t xml:space="preserve">Total liabilities</t>
  </si>
  <si>
    <t xml:space="preserve">Stockholders' equity</t>
  </si>
  <si>
    <t xml:space="preserve">Prior + net income + stock comp</t>
  </si>
  <si>
    <t xml:space="preserve">Total liabilities and equity</t>
  </si>
  <si>
    <t xml:space="preserve">Check (assets - L&amp;E)</t>
  </si>
  <si>
    <t xml:space="preserve">Must be zero</t>
  </si>
  <si>
    <t xml:space="preserve">Cash flow (quarter)</t>
  </si>
  <si>
    <t xml:space="preserve">Debt-cost amortization</t>
  </si>
  <si>
    <t xml:space="preserve">Change in receivables</t>
  </si>
  <si>
    <t xml:space="preserve">Change in prepaid and other</t>
  </si>
  <si>
    <t xml:space="preserve">Change in medical expenses payable</t>
  </si>
  <si>
    <t xml:space="preserve">Change in payables and accrued</t>
  </si>
  <si>
    <t xml:space="preserve">Cash from operations</t>
  </si>
  <si>
    <t xml:space="preserve">H1 2026 actual CFO $111.4m (10-Q); FY26 column shows H2 only in col S</t>
  </si>
  <si>
    <t xml:space="preserve">Capital expenditure</t>
  </si>
  <si>
    <t xml:space="preserve">Cash from investing</t>
  </si>
  <si>
    <t xml:space="preserve">Cash from financing</t>
  </si>
  <si>
    <t xml:space="preserve">Net change in cash</t>
  </si>
  <si>
    <t xml:space="preserve">California tangible net equity (TNE) check, Knox-Keene formula as described in the Q2 2026 10-Q, note 11</t>
  </si>
  <si>
    <t xml:space="preserve">Required = 150% of the largest of $1m; 2% of first $150m of annualized premium + 1% above; 8% of first $150m of non-capitated health care spend + 4% above. Per-plan amounts are not disclosed. The 10-K gives the aggregate: regulatory capital $268.5m vs a $116.1m minimum at 31 Dec 2025 (data/regulatory_capital.csv).</t>
  </si>
  <si>
    <t xml:space="preserve">FY26E</t>
  </si>
  <si>
    <t xml:space="preserve">FY27E</t>
  </si>
  <si>
    <t xml:space="preserve">FY28E</t>
  </si>
  <si>
    <t xml:space="preserve">CA annualized premium</t>
  </si>
  <si>
    <t xml:space="preserve">Revenue x CA share</t>
  </si>
  <si>
    <t xml:space="preserve">CA medical spend</t>
  </si>
  <si>
    <t xml:space="preserve">Required: premium test</t>
  </si>
  <si>
    <t xml:space="preserve">2% of first $150m + 1% above</t>
  </si>
  <si>
    <t xml:space="preserve">Required: spend test, 0% capitated</t>
  </si>
  <si>
    <t xml:space="preserve">8% / 4%, no capitation</t>
  </si>
  <si>
    <t xml:space="preserve">Required: spend test, 50% capitated</t>
  </si>
  <si>
    <t xml:space="preserve">8% / 4% on half the spend</t>
  </si>
  <si>
    <t xml:space="preserve">Required TNE (150%), low case</t>
  </si>
  <si>
    <t xml:space="preserve">Max of premium test and 50%-capitated spend test</t>
  </si>
  <si>
    <t xml:space="preserve">Required TNE (150%), high case</t>
  </si>
  <si>
    <t xml:space="preserve">Max of premium test and 0%-capitated spend test</t>
  </si>
  <si>
    <t xml:space="preserve">Regulatory capital (filed YE25, plus net income)</t>
  </si>
  <si>
    <t xml:space="preserve">10-K FY2025: $268.5m at 31 Dec 2025, rolled forward with consolidated net income (all subsidiaries, all states)</t>
  </si>
  <si>
    <t xml:space="preserve">Headroom, low requirement</t>
  </si>
  <si>
    <t xml:space="preserve">Headroom, high requirement</t>
  </si>
  <si>
    <t xml:space="preserve">Minimum, all states, at the 2025 ratio to revenue</t>
  </si>
  <si>
    <t xml:space="preserve">10-K FY2025: $116.1m minimum on $3,948.7m revenue</t>
  </si>
  <si>
    <t xml:space="preserve">Cover vs that minimum (x)</t>
  </si>
  <si>
    <t xml:space="preserve">Filed 2.31x at YE25 (2.08x YE24)</t>
  </si>
  <si>
    <t xml:space="preserve">SUPERSEDED (v8 method, kept for the record). The price target is built in scripts/valuation_v10.py. Peer data Yahoo Finance, 16 Oct 2026 closes and 17 Oct consensus.</t>
  </si>
  <si>
    <t xml:space="preserve">Ticker</t>
  </si>
  <si>
    <t xml:space="preserve">Price 16 Oct</t>
  </si>
  <si>
    <t xml:space="preserve">Price 14 Sep</t>
  </si>
  <si>
    <t xml:space="preserve">Shares (m)</t>
  </si>
  <si>
    <t xml:space="preserve">EV ($m)</t>
  </si>
  <si>
    <t xml:space="preserve">EBITDA TTM ($m)</t>
  </si>
  <si>
    <t xml:space="preserve">EPS 2026E</t>
  </si>
  <si>
    <t xml:space="preserve">EPS 2027E</t>
  </si>
  <si>
    <t xml:space="preserve">Fwd P/E</t>
  </si>
  <si>
    <t xml:space="preserve">Fwd EBITDA 2027 ($m)</t>
  </si>
  <si>
    <t xml:space="preserve">Fwd EV/EBITDA</t>
  </si>
  <si>
    <t xml:space="preserve">P/E at 14 Sep</t>
  </si>
  <si>
    <t xml:space="preserve">EV/EBITDA at 14 Sep</t>
  </si>
  <si>
    <t xml:space="preserve">UNH</t>
  </si>
  <si>
    <t xml:space="preserve">HUM</t>
  </si>
  <si>
    <t xml:space="preserve">ELV</t>
  </si>
  <si>
    <t xml:space="preserve">CVS</t>
  </si>
  <si>
    <t xml:space="preserve">CNC</t>
  </si>
  <si>
    <t xml:space="preserve">MOH</t>
  </si>
  <si>
    <t xml:space="preserve">CI</t>
  </si>
  <si>
    <t xml:space="preserve">Median, all seven</t>
  </si>
  <si>
    <t xml:space="preserve">Median ex HUM, MOH (trough 2026 EPS)</t>
  </si>
  <si>
    <t xml:space="preserve">Fwd EBITDA 2027 = TTM EBITDA + (EPS27 - EPS26) x shares / (1 - 24%): an approximation; Yahoo does not publish forward EBITDA. Sep 14 multiples use today's consensus EPS.</t>
  </si>
  <si>
    <t xml:space="preserve">ALHC price target (house method)</t>
  </si>
  <si>
    <t xml:space="preserve">2027E revenue</t>
  </si>
  <si>
    <t xml:space="preserve">2027E adj. SG&amp;A ratio</t>
  </si>
  <si>
    <t xml:space="preserve">2027E adj. EBITDA</t>
  </si>
  <si>
    <t xml:space="preserve">2027E D&amp;A + interest</t>
  </si>
  <si>
    <t xml:space="preserve">2027E adj. net income</t>
  </si>
  <si>
    <t xml:space="preserve">Diluted shares 2027 (m)</t>
  </si>
  <si>
    <t xml:space="preserve">Peer forward P/E (median)</t>
  </si>
  <si>
    <t xml:space="preserve">Peer forward EV/EBITDA (median)</t>
  </si>
  <si>
    <t xml:space="preserve">NOL value per share</t>
  </si>
  <si>
    <t xml:space="preserve">Parent net debt</t>
  </si>
  <si>
    <t xml:space="preserve">P/E value</t>
  </si>
  <si>
    <t xml:space="preserve">EV/EBITDA value</t>
  </si>
  <si>
    <t xml:space="preserve">Less stars cost</t>
  </si>
  <si>
    <t xml:space="preserve">12-month price target</t>
  </si>
  <si>
    <t xml:space="preserve">Upside / (downside)</t>
  </si>
  <si>
    <t xml:space="preserve">Price-implied 2027 MBR</t>
  </si>
  <si>
    <t xml:space="preserve">Now ($8.28, full stars cost, today's multiples)</t>
  </si>
  <si>
    <t xml:space="preserve">14 Sep ($12.94, 31% of stars cost, 14 Sep multiples)</t>
  </si>
  <si>
    <t xml:space="preserve">Change (points of MBR)</t>
  </si>
  <si>
    <t xml:space="preserve">Target sensitivity: forward P/E (rows) x 2027 MBR (columns); EV/EBITDA leg at the peer median</t>
  </si>
  <si>
    <t xml:space="preserve">Scenarios (MBR from the bridge; all else as the model)</t>
  </si>
  <si>
    <t xml:space="preserve">Scenario</t>
  </si>
  <si>
    <t xml:space="preserve">2027 MBR</t>
  </si>
  <si>
    <t xml:space="preserve">2027 adj. EBITDA</t>
  </si>
  <si>
    <t xml:space="preserve">2027 adj. EPS</t>
  </si>
  <si>
    <t xml:space="preserve">Target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</si>
</sst>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#,##0.0;\(#,##0.0\);\-"/>
    <numFmt numFmtId="167" formatCode="0.0%;\(0.0%\);\-"/>
    <numFmt numFmtId="168" formatCode="0.00%;\(0.00%\);\-"/>
    <numFmt numFmtId="169" formatCode="#,##0.0"/>
    <numFmt numFmtId="170" formatCode="#,##0"/>
    <numFmt numFmtId="171" formatCode="0.00\x"/>
    <numFmt numFmtId="172" formatCode="@"/>
    <numFmt numFmtId="173" formatCode="#,##0.00"/>
    <numFmt numFmtId="174" formatCode="0.0\x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false" outlineLevel="0" collapsed="false">
      <c r="A4" s="4" t="s">
        <v>4</v>
      </c>
      <c r="B4" s="5" t="n">
        <v>8.28</v>
      </c>
      <c r="C4" s="4" t="s">
        <v>5</v>
      </c>
    </row>
    <row r="5" customFormat="false" ht="15" hidden="false" customHeight="false" outlineLevel="0" collapsed="false">
      <c r="A5" s="4" t="s">
        <v>6</v>
      </c>
      <c r="B5" s="5" t="n">
        <v>12.94</v>
      </c>
      <c r="C5" s="4" t="s">
        <v>7</v>
      </c>
    </row>
    <row r="6" customFormat="false" ht="15" hidden="false" customHeight="false" outlineLevel="0" collapsed="false">
      <c r="A6" s="4" t="s">
        <v>8</v>
      </c>
      <c r="B6" s="5" t="n">
        <v>8.71</v>
      </c>
      <c r="C6" s="4" t="s">
        <v>9</v>
      </c>
    </row>
    <row r="7" customFormat="false" ht="15" hidden="false" customHeight="false" outlineLevel="0" collapsed="false">
      <c r="A7" s="4" t="s">
        <v>10</v>
      </c>
      <c r="B7" s="6" t="n">
        <v>207.435149</v>
      </c>
      <c r="C7" s="4" t="s">
        <v>11</v>
      </c>
    </row>
    <row r="8" customFormat="false" ht="15" hidden="false" customHeight="false" outlineLevel="0" collapsed="false">
      <c r="A8" s="4" t="s">
        <v>12</v>
      </c>
      <c r="B8" s="6" t="n">
        <v>1310</v>
      </c>
      <c r="C8" s="4" t="s">
        <v>13</v>
      </c>
    </row>
    <row r="9" customFormat="false" ht="15" hidden="false" customHeight="false" outlineLevel="0" collapsed="false">
      <c r="A9" s="4" t="s">
        <v>14</v>
      </c>
      <c r="B9" s="6" t="n">
        <v>153</v>
      </c>
      <c r="C9" s="4" t="s">
        <v>15</v>
      </c>
    </row>
    <row r="10" customFormat="false" ht="15" hidden="false" customHeight="false" outlineLevel="0" collapsed="false">
      <c r="A10" s="4" t="s">
        <v>16</v>
      </c>
      <c r="B10" s="6" t="n">
        <v>25</v>
      </c>
      <c r="C10" s="4" t="s">
        <v>17</v>
      </c>
    </row>
    <row r="11" customFormat="false" ht="15" hidden="false" customHeight="false" outlineLevel="0" collapsed="false">
      <c r="A11" s="4" t="s">
        <v>18</v>
      </c>
      <c r="B11" s="6" t="n">
        <v>296.5</v>
      </c>
      <c r="C11" s="4" t="s">
        <v>19</v>
      </c>
    </row>
    <row r="12" customFormat="false" ht="15" hidden="false" customHeight="false" outlineLevel="0" collapsed="false">
      <c r="A12" s="4" t="s">
        <v>20</v>
      </c>
      <c r="B12" s="6" t="n">
        <v>5210</v>
      </c>
      <c r="C12" s="4" t="s">
        <v>21</v>
      </c>
    </row>
    <row r="13" customFormat="false" ht="15" hidden="false" customHeight="false" outlineLevel="0" collapsed="false">
      <c r="A13" s="4" t="s">
        <v>22</v>
      </c>
      <c r="B13" s="6" t="n">
        <v>640</v>
      </c>
      <c r="C13" s="4" t="s">
        <v>23</v>
      </c>
    </row>
    <row r="14" customFormat="false" ht="15" hidden="false" customHeight="false" outlineLevel="0" collapsed="false">
      <c r="A14" s="4" t="s">
        <v>24</v>
      </c>
      <c r="B14" s="6" t="n">
        <v>154</v>
      </c>
      <c r="C14" s="4" t="s">
        <v>25</v>
      </c>
    </row>
    <row r="15" customFormat="false" ht="15" hidden="false" customHeight="false" outlineLevel="0" collapsed="false">
      <c r="A15" s="4" t="s">
        <v>26</v>
      </c>
      <c r="B15" s="6" t="n">
        <v>299.5</v>
      </c>
      <c r="C15" s="4" t="s">
        <v>27</v>
      </c>
    </row>
    <row r="16" customFormat="false" ht="15" hidden="false" customHeight="false" outlineLevel="0" collapsed="false">
      <c r="A16" s="4" t="s">
        <v>28</v>
      </c>
      <c r="B16" s="7" t="n">
        <v>0.887</v>
      </c>
      <c r="C16" s="4" t="s">
        <v>29</v>
      </c>
    </row>
    <row r="17" customFormat="false" ht="15" hidden="false" customHeight="false" outlineLevel="0" collapsed="false">
      <c r="A17" s="4" t="s">
        <v>30</v>
      </c>
      <c r="B17" s="7" t="n">
        <v>0.884</v>
      </c>
      <c r="C17" s="4" t="s">
        <v>31</v>
      </c>
    </row>
    <row r="18" customFormat="false" ht="15" hidden="false" customHeight="false" outlineLevel="0" collapsed="false">
      <c r="A18" s="4" t="s">
        <v>32</v>
      </c>
      <c r="B18" s="7" t="n">
        <v>0.18</v>
      </c>
      <c r="C18" s="4" t="s">
        <v>33</v>
      </c>
    </row>
    <row r="19" customFormat="false" ht="15" hidden="false" customHeight="false" outlineLevel="0" collapsed="false">
      <c r="A19" s="4" t="s">
        <v>34</v>
      </c>
      <c r="B19" s="7" t="n">
        <v>0.15</v>
      </c>
      <c r="C19" s="4" t="s">
        <v>35</v>
      </c>
    </row>
    <row r="20" customFormat="false" ht="15" hidden="false" customHeight="false" outlineLevel="0" collapsed="false">
      <c r="A20" s="4" t="s">
        <v>36</v>
      </c>
      <c r="B20" s="8" t="n">
        <v>0.8</v>
      </c>
      <c r="C20" s="4" t="s">
        <v>37</v>
      </c>
    </row>
    <row r="21" customFormat="false" ht="15" hidden="false" customHeight="false" outlineLevel="0" collapsed="false">
      <c r="A21" s="4" t="s">
        <v>38</v>
      </c>
      <c r="B21" s="9" t="n">
        <v>0.0498</v>
      </c>
      <c r="C21" s="4" t="s">
        <v>39</v>
      </c>
    </row>
    <row r="22" customFormat="false" ht="15" hidden="false" customHeight="false" outlineLevel="0" collapsed="false">
      <c r="A22" s="4" t="s">
        <v>40</v>
      </c>
      <c r="B22" s="7" t="n">
        <v>0.03</v>
      </c>
      <c r="C22" s="4" t="s">
        <v>41</v>
      </c>
    </row>
    <row r="23" customFormat="false" ht="15" hidden="false" customHeight="false" outlineLevel="0" collapsed="false">
      <c r="A23" s="4" t="s">
        <v>42</v>
      </c>
      <c r="B23" s="7" t="n">
        <v>0.09</v>
      </c>
      <c r="C23" s="4" t="s">
        <v>43</v>
      </c>
    </row>
    <row r="24" customFormat="false" ht="15" hidden="false" customHeight="false" outlineLevel="0" collapsed="false">
      <c r="A24" s="4" t="s">
        <v>44</v>
      </c>
      <c r="B24" s="7" t="n">
        <v>0.088</v>
      </c>
      <c r="C24" s="4" t="s">
        <v>45</v>
      </c>
    </row>
    <row r="25" customFormat="false" ht="15" hidden="false" customHeight="false" outlineLevel="0" collapsed="false">
      <c r="A25" s="4" t="s">
        <v>46</v>
      </c>
      <c r="B25" s="7" t="n">
        <v>0</v>
      </c>
      <c r="C25" s="4" t="s">
        <v>47</v>
      </c>
    </row>
    <row r="26" customFormat="false" ht="15" hidden="false" customHeight="false" outlineLevel="0" collapsed="false">
      <c r="A26" s="4" t="s">
        <v>48</v>
      </c>
      <c r="B26" s="6" t="n">
        <v>38.6</v>
      </c>
      <c r="C26" s="4" t="s">
        <v>49</v>
      </c>
    </row>
    <row r="27" customFormat="false" ht="15" hidden="false" customHeight="false" outlineLevel="0" collapsed="false">
      <c r="A27" s="4" t="s">
        <v>50</v>
      </c>
      <c r="B27" s="5" t="n">
        <v>0.937</v>
      </c>
      <c r="C27" s="4" t="s">
        <v>51</v>
      </c>
    </row>
    <row r="28" customFormat="false" ht="15" hidden="false" customHeight="false" outlineLevel="0" collapsed="false">
      <c r="A28" s="4" t="s">
        <v>52</v>
      </c>
      <c r="B28" s="8" t="n">
        <v>0.1</v>
      </c>
      <c r="C28" s="4" t="s">
        <v>53</v>
      </c>
    </row>
    <row r="29" customFormat="false" ht="15" hidden="false" customHeight="false" outlineLevel="0" collapsed="false">
      <c r="A29" s="4" t="s">
        <v>54</v>
      </c>
      <c r="B29" s="8" t="n">
        <v>0.05</v>
      </c>
      <c r="C29" s="4" t="s">
        <v>55</v>
      </c>
    </row>
    <row r="30" customFormat="false" ht="15" hidden="false" customHeight="false" outlineLevel="0" collapsed="false">
      <c r="A30" s="4" t="s">
        <v>56</v>
      </c>
      <c r="B30" s="9" t="n">
        <v>0.006</v>
      </c>
      <c r="C30" s="4" t="s">
        <v>57</v>
      </c>
    </row>
    <row r="31" customFormat="false" ht="15" hidden="false" customHeight="false" outlineLevel="0" collapsed="false">
      <c r="A31" s="4" t="s">
        <v>58</v>
      </c>
      <c r="B31" s="8" t="n">
        <v>0.03</v>
      </c>
      <c r="C31" s="4" t="s">
        <v>59</v>
      </c>
    </row>
    <row r="32" customFormat="false" ht="15" hidden="false" customHeight="false" outlineLevel="0" collapsed="false">
      <c r="A32" s="4" t="s">
        <v>60</v>
      </c>
      <c r="B32" s="8" t="n">
        <v>0.24</v>
      </c>
      <c r="C32" s="4" t="s">
        <v>61</v>
      </c>
    </row>
    <row r="33" customFormat="false" ht="15" hidden="false" customHeight="false" outlineLevel="0" collapsed="false">
      <c r="A33" s="4" t="s">
        <v>62</v>
      </c>
      <c r="B33" s="8" t="n">
        <v>0.222286361597834</v>
      </c>
      <c r="C33" s="4" t="s">
        <v>63</v>
      </c>
    </row>
    <row r="34" customFormat="false" ht="15" hidden="false" customHeight="false" outlineLevel="0" collapsed="false">
      <c r="A34" s="4" t="s">
        <v>64</v>
      </c>
      <c r="B34" s="8" t="n">
        <v>0.121174753843309</v>
      </c>
      <c r="C34" s="4" t="s">
        <v>65</v>
      </c>
    </row>
    <row r="35" customFormat="false" ht="15" hidden="false" customHeight="false" outlineLevel="0" collapsed="false">
      <c r="A35" s="4" t="s">
        <v>66</v>
      </c>
      <c r="B35" s="8" t="n">
        <v>0.0241608286108534</v>
      </c>
      <c r="C35" s="4" t="s">
        <v>67</v>
      </c>
    </row>
    <row r="36" customFormat="false" ht="15" hidden="false" customHeight="false" outlineLevel="0" collapsed="false">
      <c r="A36" s="4" t="s">
        <v>68</v>
      </c>
      <c r="B36" s="6" t="n">
        <v>48.3</v>
      </c>
      <c r="C36" s="4" t="s">
        <v>69</v>
      </c>
    </row>
    <row r="37" customFormat="false" ht="15" hidden="false" customHeight="false" outlineLevel="0" collapsed="false">
      <c r="A37" s="4" t="s">
        <v>70</v>
      </c>
      <c r="B37" s="6" t="n">
        <v>9</v>
      </c>
      <c r="C37" s="4" t="s">
        <v>71</v>
      </c>
    </row>
    <row r="38" customFormat="false" ht="15" hidden="false" customHeight="false" outlineLevel="0" collapsed="false">
      <c r="A38" s="4" t="s">
        <v>72</v>
      </c>
      <c r="B38" s="6" t="n">
        <v>0.57</v>
      </c>
      <c r="C38" s="4" t="s">
        <v>73</v>
      </c>
    </row>
    <row r="39" customFormat="false" ht="15" hidden="false" customHeight="false" outlineLevel="0" collapsed="false">
      <c r="A39" s="4" t="s">
        <v>74</v>
      </c>
      <c r="B39" s="6" t="n">
        <v>135.4</v>
      </c>
      <c r="C39" s="4" t="s">
        <v>75</v>
      </c>
    </row>
    <row r="40" customFormat="false" ht="15" hidden="false" customHeight="false" outlineLevel="0" collapsed="false">
      <c r="A40" s="4" t="s">
        <v>76</v>
      </c>
      <c r="B40" s="6" t="n">
        <v>200</v>
      </c>
      <c r="C40" s="4" t="s">
        <v>77</v>
      </c>
    </row>
    <row r="41" customFormat="false" ht="15" hidden="false" customHeight="false" outlineLevel="0" collapsed="false">
      <c r="A41" s="4" t="s">
        <v>78</v>
      </c>
      <c r="B41" s="6" t="n">
        <v>330</v>
      </c>
      <c r="C41" s="4" t="s">
        <v>79</v>
      </c>
    </row>
    <row r="42" customFormat="false" ht="15" hidden="false" customHeight="false" outlineLevel="0" collapsed="false">
      <c r="A42" s="4" t="s">
        <v>80</v>
      </c>
      <c r="B42" s="6" t="n">
        <v>617.001</v>
      </c>
      <c r="C42" s="4" t="s">
        <v>81</v>
      </c>
    </row>
    <row r="43" customFormat="false" ht="15" hidden="false" customHeight="false" outlineLevel="0" collapsed="false">
      <c r="A43" s="4" t="s">
        <v>82</v>
      </c>
      <c r="B43" s="8" t="n">
        <v>0.79</v>
      </c>
      <c r="C43" s="4" t="s">
        <v>83</v>
      </c>
    </row>
    <row r="44" customFormat="false" ht="15" hidden="false" customHeight="false" outlineLevel="0" collapsed="false">
      <c r="A44" s="4" t="s">
        <v>84</v>
      </c>
      <c r="B44" s="7" t="n">
        <v>0.78</v>
      </c>
      <c r="C44" s="4" t="s">
        <v>85</v>
      </c>
    </row>
    <row r="45" customFormat="false" ht="15" hidden="false" customHeight="false" outlineLevel="0" collapsed="false">
      <c r="A45" s="4" t="s">
        <v>86</v>
      </c>
      <c r="B45" s="8" t="n">
        <v>0</v>
      </c>
      <c r="C45" s="4" t="s">
        <v>87</v>
      </c>
    </row>
    <row r="46" customFormat="false" ht="15" hidden="false" customHeight="false" outlineLevel="0" collapsed="false">
      <c r="A46" s="4" t="s">
        <v>88</v>
      </c>
      <c r="B46" s="8" t="n">
        <v>0.5</v>
      </c>
      <c r="C46" s="4" t="s">
        <v>89</v>
      </c>
    </row>
    <row r="47" customFormat="false" ht="15" hidden="false" customHeight="false" outlineLevel="0" collapsed="false">
      <c r="A47" s="4" t="s">
        <v>90</v>
      </c>
      <c r="B47" s="9" t="n">
        <v>0.0533</v>
      </c>
      <c r="C47" s="4" t="s">
        <v>91</v>
      </c>
    </row>
    <row r="48" customFormat="false" ht="15" hidden="false" customHeight="false" outlineLevel="0" collapsed="false">
      <c r="A48" s="4" t="s">
        <v>92</v>
      </c>
      <c r="B48" s="8" t="n">
        <v>0.88</v>
      </c>
      <c r="C48" s="4" t="s">
        <v>93</v>
      </c>
    </row>
    <row r="49" customFormat="false" ht="15" hidden="false" customHeight="false" outlineLevel="0" collapsed="false">
      <c r="A49" s="4" t="s">
        <v>94</v>
      </c>
      <c r="B49" s="8" t="n">
        <v>0.315</v>
      </c>
      <c r="C49" s="4" t="s">
        <v>95</v>
      </c>
    </row>
    <row r="50" customFormat="false" ht="15" hidden="false" customHeight="false" outlineLevel="0" collapsed="false">
      <c r="A50" s="4" t="s">
        <v>96</v>
      </c>
      <c r="B50" s="6" t="n">
        <v>640</v>
      </c>
      <c r="C50" s="4" t="s">
        <v>97</v>
      </c>
    </row>
    <row r="51" customFormat="false" ht="15" hidden="false" customHeight="false" outlineLevel="0" collapsed="false">
      <c r="A51" s="4" t="s">
        <v>98</v>
      </c>
      <c r="B51" s="6" t="n">
        <v>880</v>
      </c>
      <c r="C51" s="4" t="s">
        <v>99</v>
      </c>
    </row>
    <row r="52" customFormat="false" ht="15" hidden="false" customHeight="false" outlineLevel="0" collapsed="false">
      <c r="A52" s="4" t="s">
        <v>100</v>
      </c>
      <c r="B52" s="7" t="n">
        <v>0.5</v>
      </c>
      <c r="C52" s="4" t="s">
        <v>101</v>
      </c>
    </row>
    <row r="53" customFormat="false" ht="15" hidden="false" customHeight="false" outlineLevel="0" collapsed="false">
      <c r="A53" s="4" t="s">
        <v>102</v>
      </c>
      <c r="B53" s="7" t="n">
        <v>-0.002</v>
      </c>
      <c r="C53" s="4" t="s">
        <v>103</v>
      </c>
    </row>
    <row r="54" customFormat="false" ht="15" hidden="false" customHeight="false" outlineLevel="0" collapsed="false">
      <c r="A54" s="4" t="s">
        <v>104</v>
      </c>
      <c r="B54" s="7" t="n">
        <v>0.5</v>
      </c>
      <c r="C54" s="4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1"/>
    <col collapsed="false" customWidth="true" hidden="false" outlineLevel="0" max="5" min="5" style="0" width="100"/>
  </cols>
  <sheetData>
    <row r="1" customFormat="false" ht="15" hidden="false" customHeight="false" outlineLevel="0" collapsed="false">
      <c r="A1" s="1" t="s">
        <v>106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107</v>
      </c>
      <c r="B3" s="3" t="s">
        <v>108</v>
      </c>
      <c r="C3" s="3" t="s">
        <v>109</v>
      </c>
      <c r="D3" s="3" t="s">
        <v>110</v>
      </c>
      <c r="E3" s="3" t="s">
        <v>111</v>
      </c>
    </row>
    <row r="4" customFormat="false" ht="15" hidden="false" customHeight="false" outlineLevel="0" collapsed="false">
      <c r="A4" s="4" t="s">
        <v>112</v>
      </c>
      <c r="B4" s="10" t="n">
        <f aca="false">Model!$P$10</f>
        <v>0.87884573512476</v>
      </c>
      <c r="C4" s="10" t="n">
        <f aca="false">Model!$P$10</f>
        <v>0.87884573512476</v>
      </c>
      <c r="D4" s="10" t="n">
        <f aca="false">Model!$P$10</f>
        <v>0.87884573512476</v>
      </c>
      <c r="E4" s="4" t="s">
        <v>113</v>
      </c>
    </row>
    <row r="5" customFormat="false" ht="15" hidden="false" customHeight="false" outlineLevel="0" collapsed="false">
      <c r="A5" s="4" t="s">
        <v>114</v>
      </c>
      <c r="B5" s="10" t="n">
        <f aca="false">(1-Inputs!$B$48/(1+Inputs!$B$49))*(1+Inputs!$B$48/(1+Inputs!$B$49))</f>
        <v>0.552169324408333</v>
      </c>
      <c r="C5" s="10" t="n">
        <f aca="false">B5</f>
        <v>0.552169324408333</v>
      </c>
      <c r="D5" s="10" t="n">
        <f aca="false">B5</f>
        <v>0.552169324408333</v>
      </c>
      <c r="E5" s="4" t="s">
        <v>115</v>
      </c>
    </row>
    <row r="6" customFormat="false" ht="15" hidden="false" customHeight="false" outlineLevel="0" collapsed="false">
      <c r="A6" s="4" t="s">
        <v>116</v>
      </c>
      <c r="B6" s="10" t="n">
        <f aca="false">(1-Inputs!$B$48/(1+Inputs!$B$18))*(1+Inputs!$B$48/(1+Inputs!$B$18))</f>
        <v>0.443837977592646</v>
      </c>
      <c r="C6" s="10" t="n">
        <f aca="false">B6</f>
        <v>0.443837977592646</v>
      </c>
      <c r="D6" s="10" t="n">
        <f aca="false">B6</f>
        <v>0.443837977592646</v>
      </c>
      <c r="E6" s="4" t="s">
        <v>117</v>
      </c>
    </row>
    <row r="7" customFormat="false" ht="15" hidden="false" customHeight="false" outlineLevel="0" collapsed="false">
      <c r="A7" s="4" t="s">
        <v>118</v>
      </c>
      <c r="B7" s="10" t="n">
        <f aca="false">(2*(Inputs!$B$51-Inputs!$B$50))/Inputs!$B$12</f>
        <v>0.0921305182341651</v>
      </c>
      <c r="C7" s="10" t="n">
        <f aca="false">B7</f>
        <v>0.0921305182341651</v>
      </c>
      <c r="D7" s="10" t="n">
        <f aca="false">B7</f>
        <v>0.0921305182341651</v>
      </c>
      <c r="E7" s="4" t="s">
        <v>119</v>
      </c>
    </row>
    <row r="8" customFormat="false" ht="15" hidden="false" customHeight="false" outlineLevel="0" collapsed="false">
      <c r="A8" s="4" t="s">
        <v>120</v>
      </c>
      <c r="B8" s="10" t="n">
        <f aca="false">0</f>
        <v>0</v>
      </c>
      <c r="C8" s="10" t="n">
        <f aca="false">-(B5-B6)*B7*Inputs!$B$52</f>
        <v>-0.00499031156156717</v>
      </c>
      <c r="D8" s="10" t="n">
        <f aca="false">-(B5-B6)*B7</f>
        <v>-0.00998062312313434</v>
      </c>
      <c r="E8" s="4" t="s">
        <v>121</v>
      </c>
    </row>
    <row r="9" customFormat="false" ht="15" hidden="false" customHeight="false" outlineLevel="0" collapsed="false">
      <c r="A9" s="4" t="s">
        <v>122</v>
      </c>
      <c r="B9" s="10" t="n">
        <f aca="false">B4*((1+Inputs!$B$47+0.006)/(1+Inputs!$B$21)-1)</f>
        <v>0.00795297626565535</v>
      </c>
      <c r="C9" s="10" t="n">
        <f aca="false">B4*((1+Inputs!$B$47)/(1+Inputs!$B$21)-1)</f>
        <v>0.00293004388734674</v>
      </c>
      <c r="D9" s="10" t="n">
        <f aca="false">B4*((1+Inputs!$B$47)/(1+Inputs!$B$21)-1)</f>
        <v>0.00293004388734674</v>
      </c>
      <c r="E9" s="4" t="s">
        <v>123</v>
      </c>
    </row>
    <row r="10" customFormat="false" ht="15" hidden="false" customHeight="false" outlineLevel="0" collapsed="false">
      <c r="A10" s="4" t="s">
        <v>124</v>
      </c>
      <c r="B10" s="10" t="n">
        <f aca="false">0</f>
        <v>0</v>
      </c>
      <c r="C10" s="10" t="n">
        <f aca="false">Inputs!$B$53</f>
        <v>-0.002</v>
      </c>
      <c r="D10" s="10" t="n">
        <f aca="false">Inputs!$B$53</f>
        <v>-0.002</v>
      </c>
      <c r="E10" s="4" t="s">
        <v>125</v>
      </c>
    </row>
    <row r="11" customFormat="false" ht="15" hidden="false" customHeight="false" outlineLevel="0" collapsed="false">
      <c r="A11" s="4" t="s">
        <v>126</v>
      </c>
      <c r="B11" s="10" t="n">
        <f aca="false">(Model!$S$10-Model!$P$10)</f>
        <v>0.00664336940431542</v>
      </c>
      <c r="C11" s="10" t="n">
        <f aca="false">(Model!$S$10-Model!$P$10)*Inputs!$B$54</f>
        <v>0.00332168470215771</v>
      </c>
      <c r="D11" s="10" t="n">
        <f aca="false">0</f>
        <v>0</v>
      </c>
      <c r="E11" s="4" t="s">
        <v>127</v>
      </c>
    </row>
    <row r="12" customFormat="false" ht="15" hidden="false" customHeight="false" outlineLevel="0" collapsed="false">
      <c r="A12" s="1" t="s">
        <v>128</v>
      </c>
      <c r="B12" s="11" t="n">
        <f aca="false">B4+B8+B9+B10+B11</f>
        <v>0.893442080794731</v>
      </c>
      <c r="C12" s="11" t="n">
        <f aca="false">C4+C8+C9+C10+C11</f>
        <v>0.878107152152697</v>
      </c>
      <c r="D12" s="11" t="n">
        <f aca="false">D4+D8+D9+D10+D11</f>
        <v>0.869795155888973</v>
      </c>
      <c r="E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14" min="3" style="0" width="10"/>
    <col collapsed="false" customWidth="true" hidden="false" outlineLevel="0" max="19" min="16" style="0" width="10"/>
  </cols>
  <sheetData>
    <row r="1" customFormat="false" ht="15" hidden="false" customHeight="false" outlineLevel="0" collapsed="false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136</v>
      </c>
      <c r="H3" s="3" t="s">
        <v>137</v>
      </c>
      <c r="I3" s="3" t="s">
        <v>138</v>
      </c>
      <c r="J3" s="3" t="s">
        <v>139</v>
      </c>
      <c r="K3" s="3" t="s">
        <v>140</v>
      </c>
      <c r="L3" s="3" t="s">
        <v>141</v>
      </c>
      <c r="M3" s="3" t="s">
        <v>142</v>
      </c>
      <c r="N3" s="3" t="s">
        <v>143</v>
      </c>
      <c r="O3" s="2"/>
      <c r="P3" s="3" t="s">
        <v>144</v>
      </c>
      <c r="Q3" s="3" t="s">
        <v>145</v>
      </c>
      <c r="R3" s="3" t="s">
        <v>146</v>
      </c>
      <c r="S3" s="3" t="s">
        <v>147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customFormat="false" ht="15" hidden="false" customHeight="false" outlineLevel="0" collapsed="false">
      <c r="A5" s="4" t="s">
        <v>148</v>
      </c>
      <c r="B5" s="4" t="s">
        <v>149</v>
      </c>
      <c r="C5" s="2"/>
      <c r="D5" s="12" t="n">
        <v>294.1</v>
      </c>
      <c r="E5" s="13" t="n">
        <f aca="false">Inputs!$B$11</f>
        <v>296.5</v>
      </c>
      <c r="F5" s="13" t="n">
        <f aca="false">Inputs!$B$15</f>
        <v>299.5</v>
      </c>
      <c r="G5" s="13" t="n">
        <f aca="false">F5*(1+Inputs!$B$18*Inputs!$B$20)</f>
        <v>342.628</v>
      </c>
      <c r="H5" s="13" t="n">
        <f aca="false">G5+(F5*(1+Inputs!$B$18)-G5)/3</f>
        <v>346.222</v>
      </c>
      <c r="I5" s="13" t="n">
        <f aca="false">H5+(F5*(1+Inputs!$B$18)-G5)/3</f>
        <v>349.816</v>
      </c>
      <c r="J5" s="13" t="n">
        <f aca="false">F5*(1+Inputs!$B$18)</f>
        <v>353.41</v>
      </c>
      <c r="K5" s="13" t="n">
        <f aca="false">J5*(1+Inputs!$B$19*Inputs!$B$20)</f>
        <v>395.8192</v>
      </c>
      <c r="L5" s="13" t="n">
        <f aca="false">K5+(J5*(1+Inputs!$B$19)-K5)/3</f>
        <v>399.3533</v>
      </c>
      <c r="M5" s="13" t="n">
        <f aca="false">L5+(J5*(1+Inputs!$B$19)-K5)/3</f>
        <v>402.8874</v>
      </c>
      <c r="N5" s="13" t="n">
        <f aca="false">J5*(1+Inputs!$B$19)</f>
        <v>406.4215</v>
      </c>
      <c r="O5" s="2"/>
      <c r="P5" s="13" t="n">
        <f aca="false">F5</f>
        <v>299.5</v>
      </c>
      <c r="Q5" s="13" t="n">
        <f aca="false">J5</f>
        <v>353.41</v>
      </c>
      <c r="R5" s="13" t="n">
        <f aca="false">N5</f>
        <v>406.4215</v>
      </c>
      <c r="S5" s="2"/>
    </row>
    <row r="6" customFormat="false" ht="15" hidden="false" customHeight="false" outlineLevel="0" collapsed="false">
      <c r="A6" s="4" t="s">
        <v>150</v>
      </c>
      <c r="B6" s="4" t="s">
        <v>151</v>
      </c>
      <c r="C6" s="2"/>
      <c r="D6" s="2"/>
      <c r="E6" s="13" t="n">
        <f aca="false">(D5+E5)/2</f>
        <v>295.3</v>
      </c>
      <c r="F6" s="13" t="n">
        <f aca="false">(E5+F5)/2</f>
        <v>298</v>
      </c>
      <c r="G6" s="13" t="n">
        <f aca="false">G5</f>
        <v>342.628</v>
      </c>
      <c r="H6" s="13" t="n">
        <f aca="false">(G5+H5)/2</f>
        <v>344.425</v>
      </c>
      <c r="I6" s="13" t="n">
        <f aca="false">(H5+I5)/2</f>
        <v>348.019</v>
      </c>
      <c r="J6" s="13" t="n">
        <f aca="false">(I5+J5)/2</f>
        <v>351.613</v>
      </c>
      <c r="K6" s="13" t="n">
        <f aca="false">K5</f>
        <v>395.8192</v>
      </c>
      <c r="L6" s="13" t="n">
        <f aca="false">(K5+L5)/2</f>
        <v>397.58625</v>
      </c>
      <c r="M6" s="13" t="n">
        <f aca="false">(L5+M5)/2</f>
        <v>401.12035</v>
      </c>
      <c r="N6" s="13" t="n">
        <f aca="false">(M5+N5)/2</f>
        <v>404.65445</v>
      </c>
      <c r="O6" s="2"/>
      <c r="P6" s="2"/>
      <c r="Q6" s="2"/>
      <c r="R6" s="2"/>
      <c r="S6" s="2"/>
    </row>
    <row r="7" customFormat="false" ht="15" hidden="false" customHeight="false" outlineLevel="0" collapsed="false">
      <c r="A7" s="4" t="s">
        <v>152</v>
      </c>
      <c r="B7" s="4" t="s">
        <v>153</v>
      </c>
      <c r="C7" s="2"/>
      <c r="D7" s="2"/>
      <c r="E7" s="14" t="n">
        <f aca="false">E8/(E6*3)*1000</f>
        <v>1478.72220340896</v>
      </c>
      <c r="F7" s="14" t="n">
        <f aca="false">F8/(F6*3)*1000</f>
        <v>1486.76733780761</v>
      </c>
      <c r="G7" s="14" t="n">
        <f aca="false">AVERAGE($E$7:$F$7)*(1+Inputs!$B$21)</f>
        <v>1556.58546018458</v>
      </c>
      <c r="H7" s="14" t="n">
        <f aca="false">AVERAGE($E$7:$F$7)*(1+Inputs!$B$21)</f>
        <v>1556.58546018458</v>
      </c>
      <c r="I7" s="14" t="n">
        <f aca="false">AVERAGE($E$7:$F$7)*(1+Inputs!$B$21)</f>
        <v>1556.58546018458</v>
      </c>
      <c r="J7" s="14" t="n">
        <f aca="false">AVERAGE($E$7:$F$7)*(1+Inputs!$B$21)</f>
        <v>1556.58546018458</v>
      </c>
      <c r="K7" s="14" t="n">
        <f aca="false">$G$7*(1+Inputs!$B$22)</f>
        <v>1603.28302399011</v>
      </c>
      <c r="L7" s="14" t="n">
        <f aca="false">$G$7*(1+Inputs!$B$22)</f>
        <v>1603.28302399011</v>
      </c>
      <c r="M7" s="14" t="n">
        <f aca="false">$G$7*(1+Inputs!$B$22)</f>
        <v>1603.28302399011</v>
      </c>
      <c r="N7" s="14" t="n">
        <f aca="false">$G$7*(1+Inputs!$B$22)</f>
        <v>1603.28302399011</v>
      </c>
      <c r="O7" s="2"/>
      <c r="P7" s="2"/>
      <c r="Q7" s="2"/>
      <c r="R7" s="2"/>
      <c r="S7" s="2"/>
    </row>
    <row r="8" customFormat="false" ht="15" hidden="false" customHeight="false" outlineLevel="0" collapsed="false">
      <c r="A8" s="1" t="s">
        <v>154</v>
      </c>
      <c r="B8" s="4" t="s">
        <v>155</v>
      </c>
      <c r="C8" s="6" t="n">
        <v>1235.197</v>
      </c>
      <c r="D8" s="6" t="n">
        <v>1335.633</v>
      </c>
      <c r="E8" s="15" t="n">
        <f aca="false">Inputs!$B$8</f>
        <v>1310</v>
      </c>
      <c r="F8" s="15" t="n">
        <f aca="false">Inputs!$B$12-C8-D8-E8</f>
        <v>1329.17</v>
      </c>
      <c r="G8" s="15" t="n">
        <f aca="false">G6*3*G7/1000</f>
        <v>1599.98928915636</v>
      </c>
      <c r="H8" s="15" t="n">
        <f aca="false">H6*3*H7/1000</f>
        <v>1608.38084137222</v>
      </c>
      <c r="I8" s="15" t="n">
        <f aca="false">I6*3*I7/1000</f>
        <v>1625.16394580393</v>
      </c>
      <c r="J8" s="15" t="n">
        <f aca="false">J6*3*J7/1000</f>
        <v>1641.94705023564</v>
      </c>
      <c r="K8" s="15" t="n">
        <f aca="false">K6*3*K7/1000</f>
        <v>1903.83061178804</v>
      </c>
      <c r="L8" s="15" t="n">
        <f aca="false">L6*3*L7/1000</f>
        <v>1912.32985559067</v>
      </c>
      <c r="M8" s="15" t="n">
        <f aca="false">M6*3*M7/1000</f>
        <v>1929.32834319592</v>
      </c>
      <c r="N8" s="15" t="n">
        <f aca="false">N6*3*N7/1000</f>
        <v>1946.32683080117</v>
      </c>
      <c r="O8" s="2"/>
      <c r="P8" s="15" t="n">
        <f aca="false">SUM(C8:F8)</f>
        <v>5210</v>
      </c>
      <c r="Q8" s="15" t="n">
        <f aca="false">SUM(G8:J8)</f>
        <v>6475.48112656815</v>
      </c>
      <c r="R8" s="15" t="n">
        <f aca="false">SUM(K8:N8)</f>
        <v>7691.8156413758</v>
      </c>
      <c r="S8" s="15" t="n">
        <f aca="false">SUM(E8:F8)</f>
        <v>2639.17</v>
      </c>
    </row>
    <row r="9" customFormat="false" ht="15" hidden="false" customHeight="false" outlineLevel="0" collapsed="false">
      <c r="A9" s="4" t="s">
        <v>156</v>
      </c>
      <c r="B9" s="4" t="s">
        <v>157</v>
      </c>
      <c r="C9" s="6" t="n">
        <v>146</v>
      </c>
      <c r="D9" s="6" t="n">
        <v>183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customFormat="false" ht="15" hidden="false" customHeight="false" outlineLevel="0" collapsed="false">
      <c r="A10" s="4" t="s">
        <v>158</v>
      </c>
      <c r="B10" s="4" t="s">
        <v>159</v>
      </c>
      <c r="C10" s="16" t="n">
        <f aca="false">1-C9/C8</f>
        <v>0.881800231056261</v>
      </c>
      <c r="D10" s="16" t="n">
        <f aca="false">1-D9/D8</f>
        <v>0.862986314354317</v>
      </c>
      <c r="E10" s="16" t="n">
        <f aca="false">Inputs!$B$16</f>
        <v>0.887</v>
      </c>
      <c r="F10" s="16" t="n">
        <f aca="false">Inputs!$B$17</f>
        <v>0.884</v>
      </c>
      <c r="G10" s="16" t="n">
        <f aca="false">C10-$P$10+'MBR Bridge'!$C$12</f>
        <v>0.881061648084198</v>
      </c>
      <c r="H10" s="16" t="n">
        <f aca="false">D10-$P$10+'MBR Bridge'!$C$12</f>
        <v>0.862247731382255</v>
      </c>
      <c r="I10" s="16" t="n">
        <f aca="false">E10-$P$10+'MBR Bridge'!$C$12</f>
        <v>0.886261417027937</v>
      </c>
      <c r="J10" s="16" t="n">
        <f aca="false">F10-$P$10+'MBR Bridge'!$C$12</f>
        <v>0.883261417027937</v>
      </c>
      <c r="K10" s="16" t="n">
        <f aca="false">G10-$Q$10+$Q$10+Inputs!$B$25</f>
        <v>0.881061648084198</v>
      </c>
      <c r="L10" s="16" t="n">
        <f aca="false">H10-$Q$10+$Q$10+Inputs!$B$25</f>
        <v>0.862247731382255</v>
      </c>
      <c r="M10" s="16" t="n">
        <f aca="false">I10-$Q$10+$Q$10+Inputs!$B$25</f>
        <v>0.886261417027937</v>
      </c>
      <c r="N10" s="16" t="n">
        <f aca="false">J10-$Q$10+$Q$10+Inputs!$B$25</f>
        <v>0.883261417027937</v>
      </c>
      <c r="O10" s="2"/>
      <c r="P10" s="16" t="n">
        <f aca="false">1-P12/P8</f>
        <v>0.87884573512476</v>
      </c>
      <c r="Q10" s="16" t="n">
        <f aca="false">1-Q12/Q8</f>
        <v>0.87825142260803</v>
      </c>
      <c r="R10" s="16" t="n">
        <f aca="false">1-R12/R8</f>
        <v>0.878245033034925</v>
      </c>
      <c r="S10" s="16" t="n">
        <f aca="false">1-S12/S8</f>
        <v>0.885489104529076</v>
      </c>
    </row>
    <row r="11" customFormat="false" ht="15" hidden="false" customHeight="false" outlineLevel="0" collapsed="false">
      <c r="A11" s="4" t="s">
        <v>160</v>
      </c>
      <c r="B11" s="4"/>
      <c r="C11" s="17" t="n">
        <f aca="false">C8-C9</f>
        <v>1089.197</v>
      </c>
      <c r="D11" s="17" t="n">
        <f aca="false">D8-D9</f>
        <v>1152.633</v>
      </c>
      <c r="E11" s="17" t="n">
        <f aca="false">E8*E10</f>
        <v>1161.97</v>
      </c>
      <c r="F11" s="17" t="n">
        <f aca="false">F8*F10</f>
        <v>1174.98628</v>
      </c>
      <c r="G11" s="17" t="n">
        <f aca="false">G8*G10</f>
        <v>1409.68920002117</v>
      </c>
      <c r="H11" s="17" t="n">
        <f aca="false">H8*H10</f>
        <v>1386.82273167188</v>
      </c>
      <c r="I11" s="17" t="n">
        <f aca="false">I8*I10</f>
        <v>1440.3201015109</v>
      </c>
      <c r="J11" s="17" t="n">
        <f aca="false">J8*J10</f>
        <v>1450.26847827597</v>
      </c>
      <c r="K11" s="17" t="n">
        <f aca="false">K8*K10</f>
        <v>1677.39213649512</v>
      </c>
      <c r="L11" s="17" t="n">
        <f aca="false">L8*L10</f>
        <v>1648.90207963761</v>
      </c>
      <c r="M11" s="17" t="n">
        <f aca="false">M8*M10</f>
        <v>1709.88927135298</v>
      </c>
      <c r="N11" s="17" t="n">
        <f aca="false">N8*N10</f>
        <v>1719.11539457294</v>
      </c>
      <c r="O11" s="2"/>
      <c r="P11" s="17" t="n">
        <f aca="false">SUM(C11:F11)</f>
        <v>4578.78628</v>
      </c>
      <c r="Q11" s="17" t="n">
        <f aca="false">SUM(G11:J11)</f>
        <v>5687.10051147992</v>
      </c>
      <c r="R11" s="17" t="n">
        <f aca="false">SUM(K11:N11)</f>
        <v>6755.29888205864</v>
      </c>
      <c r="S11" s="17" t="n">
        <f aca="false">SUM(E11:F11)</f>
        <v>2336.95628</v>
      </c>
    </row>
    <row r="12" customFormat="false" ht="15" hidden="false" customHeight="false" outlineLevel="0" collapsed="false">
      <c r="A12" s="1" t="s">
        <v>161</v>
      </c>
      <c r="B12" s="4"/>
      <c r="C12" s="15" t="n">
        <f aca="false">C8-C11</f>
        <v>146</v>
      </c>
      <c r="D12" s="15" t="n">
        <f aca="false">D8-D11</f>
        <v>183</v>
      </c>
      <c r="E12" s="15" t="n">
        <f aca="false">E8-E11</f>
        <v>148.03</v>
      </c>
      <c r="F12" s="15" t="n">
        <f aca="false">F8-F11</f>
        <v>154.18372</v>
      </c>
      <c r="G12" s="15" t="n">
        <f aca="false">G8-G11</f>
        <v>190.300089135194</v>
      </c>
      <c r="H12" s="15" t="n">
        <f aca="false">H8-H11</f>
        <v>221.558109700341</v>
      </c>
      <c r="I12" s="15" t="n">
        <f aca="false">I8-I11</f>
        <v>184.843844293025</v>
      </c>
      <c r="J12" s="15" t="n">
        <f aca="false">J8-J11</f>
        <v>191.678571959667</v>
      </c>
      <c r="K12" s="15" t="n">
        <f aca="false">K8-K11</f>
        <v>226.438475292923</v>
      </c>
      <c r="L12" s="15" t="n">
        <f aca="false">L8-L11</f>
        <v>263.42777595306</v>
      </c>
      <c r="M12" s="15" t="n">
        <f aca="false">M8-M11</f>
        <v>219.439071842941</v>
      </c>
      <c r="N12" s="15" t="n">
        <f aca="false">N8-N11</f>
        <v>227.211436228234</v>
      </c>
      <c r="O12" s="2"/>
      <c r="P12" s="15" t="n">
        <f aca="false">SUM(C12:F12)</f>
        <v>631.21372</v>
      </c>
      <c r="Q12" s="15" t="n">
        <f aca="false">SUM(G12:J12)</f>
        <v>788.380615088227</v>
      </c>
      <c r="R12" s="15" t="n">
        <f aca="false">SUM(K12:N12)</f>
        <v>936.516759317159</v>
      </c>
      <c r="S12" s="15" t="n">
        <f aca="false">SUM(E12:F12)</f>
        <v>302.21372</v>
      </c>
    </row>
    <row r="13" customFormat="false" ht="15" hidden="false" customHeight="false" outlineLevel="0" collapsed="false">
      <c r="A13" s="4" t="s">
        <v>162</v>
      </c>
      <c r="B13" s="4" t="s">
        <v>163</v>
      </c>
      <c r="C13" s="17" t="n">
        <f aca="false">C12-C14</f>
        <v>108.149</v>
      </c>
      <c r="D13" s="17" t="n">
        <f aca="false">D12-D14</f>
        <v>114.855</v>
      </c>
      <c r="E13" s="17" t="n">
        <f aca="false">Inputs!$B$9-Inputs!$B$10</f>
        <v>128</v>
      </c>
      <c r="F13" s="17" t="n">
        <f aca="false">(Inputs!$B$13-Inputs!$B$14)-C13-D13-E13</f>
        <v>134.996</v>
      </c>
      <c r="G13" s="17" t="n">
        <f aca="false">G8*Inputs!$B$23</f>
        <v>143.999036024073</v>
      </c>
      <c r="H13" s="17" t="n">
        <f aca="false">H8*Inputs!$B$23</f>
        <v>144.7542757235</v>
      </c>
      <c r="I13" s="17" t="n">
        <f aca="false">I8*Inputs!$B$23</f>
        <v>146.264755122354</v>
      </c>
      <c r="J13" s="17" t="n">
        <f aca="false">J8*Inputs!$B$23</f>
        <v>147.775234521208</v>
      </c>
      <c r="K13" s="17" t="n">
        <f aca="false">K8*Inputs!$B$24</f>
        <v>167.537093837348</v>
      </c>
      <c r="L13" s="17" t="n">
        <f aca="false">L8*Inputs!$B$24</f>
        <v>168.285027291979</v>
      </c>
      <c r="M13" s="17" t="n">
        <f aca="false">M8*Inputs!$B$24</f>
        <v>169.780894201241</v>
      </c>
      <c r="N13" s="17" t="n">
        <f aca="false">N8*Inputs!$B$24</f>
        <v>171.276761110503</v>
      </c>
      <c r="O13" s="2"/>
      <c r="P13" s="17" t="n">
        <f aca="false">SUM(C13:F13)</f>
        <v>486</v>
      </c>
      <c r="Q13" s="17" t="n">
        <f aca="false">SUM(G13:J13)</f>
        <v>582.793301391134</v>
      </c>
      <c r="R13" s="17" t="n">
        <f aca="false">SUM(K13:N13)</f>
        <v>676.879776441071</v>
      </c>
      <c r="S13" s="17" t="n">
        <f aca="false">SUM(E13:F13)</f>
        <v>262.996</v>
      </c>
    </row>
    <row r="14" customFormat="false" ht="15" hidden="false" customHeight="false" outlineLevel="0" collapsed="false">
      <c r="A14" s="1" t="s">
        <v>164</v>
      </c>
      <c r="B14" s="4" t="s">
        <v>165</v>
      </c>
      <c r="C14" s="6" t="n">
        <v>37.851</v>
      </c>
      <c r="D14" s="6" t="n">
        <v>68.145</v>
      </c>
      <c r="E14" s="15" t="n">
        <f aca="false">E12-E13</f>
        <v>20.03</v>
      </c>
      <c r="F14" s="15" t="n">
        <f aca="false">F12-F13</f>
        <v>19.18772</v>
      </c>
      <c r="G14" s="15" t="n">
        <f aca="false">G12-G13</f>
        <v>46.3010531111208</v>
      </c>
      <c r="H14" s="15" t="n">
        <f aca="false">H12-H13</f>
        <v>76.8038339768416</v>
      </c>
      <c r="I14" s="15" t="n">
        <f aca="false">I12-I13</f>
        <v>38.5790891706715</v>
      </c>
      <c r="J14" s="15" t="n">
        <f aca="false">J12-J13</f>
        <v>43.9033374384594</v>
      </c>
      <c r="K14" s="15" t="n">
        <f aca="false">K12-K13</f>
        <v>58.9013814555753</v>
      </c>
      <c r="L14" s="15" t="n">
        <f aca="false">L12-L13</f>
        <v>95.1427486610812</v>
      </c>
      <c r="M14" s="15" t="n">
        <f aca="false">M12-M13</f>
        <v>49.6581776417004</v>
      </c>
      <c r="N14" s="15" t="n">
        <f aca="false">N12-N13</f>
        <v>55.9346751177312</v>
      </c>
      <c r="O14" s="2"/>
      <c r="P14" s="15" t="n">
        <f aca="false">SUM(C14:F14)</f>
        <v>145.21372</v>
      </c>
      <c r="Q14" s="15" t="n">
        <f aca="false">SUM(G14:J14)</f>
        <v>205.587313697093</v>
      </c>
      <c r="R14" s="15" t="n">
        <f aca="false">SUM(K14:N14)</f>
        <v>259.636982876088</v>
      </c>
      <c r="S14" s="15" t="n">
        <f aca="false">SUM(E14:F14)</f>
        <v>39.21772</v>
      </c>
    </row>
    <row r="15" customFormat="false" ht="15" hidden="false" customHeight="false" outlineLevel="0" collapsed="false">
      <c r="A15" s="4" t="s">
        <v>166</v>
      </c>
      <c r="B15" s="4" t="s">
        <v>167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17" t="n">
        <f aca="false">-Inputs!$B$26/4</f>
        <v>-9.65</v>
      </c>
      <c r="L15" s="17" t="n">
        <f aca="false">-Inputs!$B$26/4</f>
        <v>-9.65</v>
      </c>
      <c r="M15" s="17" t="n">
        <f aca="false">-Inputs!$B$26/4</f>
        <v>-9.65</v>
      </c>
      <c r="N15" s="17" t="n">
        <f aca="false">-Inputs!$B$26/4</f>
        <v>-9.65</v>
      </c>
      <c r="O15" s="2"/>
      <c r="P15" s="17" t="n">
        <f aca="false">SUM(C15:F15)</f>
        <v>0</v>
      </c>
      <c r="Q15" s="17" t="n">
        <f aca="false">SUM(G15:J15)</f>
        <v>0</v>
      </c>
      <c r="R15" s="17" t="n">
        <f aca="false">SUM(K15:N15)</f>
        <v>-38.6</v>
      </c>
      <c r="S15" s="17" t="n">
        <f aca="false">SUM(E15:F15)</f>
        <v>0</v>
      </c>
    </row>
    <row r="16" customFormat="false" ht="15" hidden="false" customHeight="false" outlineLevel="0" collapsed="false">
      <c r="A16" s="1" t="s">
        <v>168</v>
      </c>
      <c r="B16" s="4"/>
      <c r="C16" s="15" t="n">
        <f aca="false">C14+C15</f>
        <v>37.851</v>
      </c>
      <c r="D16" s="15" t="n">
        <f aca="false">D14+D15</f>
        <v>68.145</v>
      </c>
      <c r="E16" s="15" t="n">
        <f aca="false">E14+E15</f>
        <v>20.03</v>
      </c>
      <c r="F16" s="15" t="n">
        <f aca="false">F14+F15</f>
        <v>19.18772</v>
      </c>
      <c r="G16" s="15" t="n">
        <f aca="false">G14+G15</f>
        <v>46.3010531111208</v>
      </c>
      <c r="H16" s="15" t="n">
        <f aca="false">H14+H15</f>
        <v>76.8038339768416</v>
      </c>
      <c r="I16" s="15" t="n">
        <f aca="false">I14+I15</f>
        <v>38.5790891706715</v>
      </c>
      <c r="J16" s="15" t="n">
        <f aca="false">J14+J15</f>
        <v>43.9033374384594</v>
      </c>
      <c r="K16" s="15" t="n">
        <f aca="false">K14+K15</f>
        <v>49.2513814555753</v>
      </c>
      <c r="L16" s="15" t="n">
        <f aca="false">L14+L15</f>
        <v>85.4927486610812</v>
      </c>
      <c r="M16" s="15" t="n">
        <f aca="false">M14+M15</f>
        <v>40.0081776417004</v>
      </c>
      <c r="N16" s="15" t="n">
        <f aca="false">N14+N15</f>
        <v>46.2846751177313</v>
      </c>
      <c r="O16" s="2"/>
      <c r="P16" s="15" t="n">
        <f aca="false">SUM(C16:F16)</f>
        <v>145.21372</v>
      </c>
      <c r="Q16" s="15" t="n">
        <f aca="false">SUM(G16:J16)</f>
        <v>205.587313697093</v>
      </c>
      <c r="R16" s="15" t="n">
        <f aca="false">SUM(K16:N16)</f>
        <v>221.036982876088</v>
      </c>
      <c r="S16" s="15" t="n">
        <f aca="false">SUM(E16:F16)</f>
        <v>39.21772</v>
      </c>
    </row>
    <row r="17" customFormat="false" ht="15" hidden="false" customHeight="false" outlineLevel="0" collapsed="false">
      <c r="A17" s="4" t="s">
        <v>169</v>
      </c>
      <c r="B17" s="4" t="s">
        <v>170</v>
      </c>
      <c r="C17" s="6" t="n">
        <v>7.839</v>
      </c>
      <c r="D17" s="6" t="n">
        <v>7.854</v>
      </c>
      <c r="E17" s="17" t="n">
        <f aca="false">D17</f>
        <v>7.854</v>
      </c>
      <c r="F17" s="17" t="n">
        <f aca="false">D17</f>
        <v>7.854</v>
      </c>
      <c r="G17" s="17" t="n">
        <f aca="false">$F$17*(1+Inputs!$B$28)</f>
        <v>8.6394</v>
      </c>
      <c r="H17" s="17" t="n">
        <f aca="false">$F$17*(1+Inputs!$B$28)</f>
        <v>8.6394</v>
      </c>
      <c r="I17" s="17" t="n">
        <f aca="false">$F$17*(1+Inputs!$B$28)</f>
        <v>8.6394</v>
      </c>
      <c r="J17" s="17" t="n">
        <f aca="false">$F$17*(1+Inputs!$B$28)</f>
        <v>8.6394</v>
      </c>
      <c r="K17" s="17" t="n">
        <f aca="false">$G$17*(1+Inputs!$B$28)</f>
        <v>9.50334</v>
      </c>
      <c r="L17" s="17" t="n">
        <f aca="false">$G$17*(1+Inputs!$B$28)</f>
        <v>9.50334</v>
      </c>
      <c r="M17" s="17" t="n">
        <f aca="false">$G$17*(1+Inputs!$B$28)</f>
        <v>9.50334</v>
      </c>
      <c r="N17" s="17" t="n">
        <f aca="false">$G$17*(1+Inputs!$B$28)</f>
        <v>9.50334</v>
      </c>
      <c r="O17" s="2"/>
      <c r="P17" s="17" t="n">
        <f aca="false">SUM(C17:F17)</f>
        <v>31.401</v>
      </c>
      <c r="Q17" s="17" t="n">
        <f aca="false">SUM(G17:J17)</f>
        <v>34.5576</v>
      </c>
      <c r="R17" s="17" t="n">
        <f aca="false">SUM(K17:N17)</f>
        <v>38.01336</v>
      </c>
      <c r="S17" s="17" t="n">
        <f aca="false">SUM(E17:F17)</f>
        <v>15.708</v>
      </c>
    </row>
    <row r="18" customFormat="false" ht="15" hidden="false" customHeight="false" outlineLevel="0" collapsed="false">
      <c r="A18" s="4" t="s">
        <v>171</v>
      </c>
      <c r="B18" s="4" t="s">
        <v>172</v>
      </c>
      <c r="C18" s="6" t="n">
        <v>4.062</v>
      </c>
      <c r="D18" s="6" t="n">
        <v>4.275</v>
      </c>
      <c r="E18" s="17" t="n">
        <f aca="false">$D$18</f>
        <v>4.275</v>
      </c>
      <c r="F18" s="17" t="n">
        <f aca="false">$D$18</f>
        <v>4.275</v>
      </c>
      <c r="G18" s="17" t="n">
        <f aca="false">$D$18</f>
        <v>4.275</v>
      </c>
      <c r="H18" s="17" t="n">
        <f aca="false">$D$18</f>
        <v>4.275</v>
      </c>
      <c r="I18" s="17" t="n">
        <f aca="false">$D$18</f>
        <v>4.275</v>
      </c>
      <c r="J18" s="17" t="n">
        <f aca="false">$D$18</f>
        <v>4.275</v>
      </c>
      <c r="K18" s="17" t="n">
        <f aca="false">$D$18</f>
        <v>4.275</v>
      </c>
      <c r="L18" s="17" t="n">
        <f aca="false">$D$18</f>
        <v>4.275</v>
      </c>
      <c r="M18" s="17" t="n">
        <f aca="false">$D$18</f>
        <v>4.275</v>
      </c>
      <c r="N18" s="17" t="n">
        <f aca="false">$D$18</f>
        <v>4.275</v>
      </c>
      <c r="O18" s="2"/>
      <c r="P18" s="17" t="n">
        <f aca="false">SUM(C18:F18)</f>
        <v>16.887</v>
      </c>
      <c r="Q18" s="17" t="n">
        <f aca="false">SUM(G18:J18)</f>
        <v>17.1</v>
      </c>
      <c r="R18" s="17" t="n">
        <f aca="false">SUM(K18:N18)</f>
        <v>17.1</v>
      </c>
      <c r="S18" s="17" t="n">
        <f aca="false">SUM(E18:F18)</f>
        <v>8.55</v>
      </c>
    </row>
    <row r="19" customFormat="false" ht="15" hidden="false" customHeight="false" outlineLevel="0" collapsed="false">
      <c r="A19" s="4" t="s">
        <v>173</v>
      </c>
      <c r="B19" s="4" t="s">
        <v>174</v>
      </c>
      <c r="C19" s="6" t="n">
        <v>14.019</v>
      </c>
      <c r="D19" s="6" t="n">
        <v>18.174</v>
      </c>
      <c r="E19" s="17" t="n">
        <f aca="false">D19</f>
        <v>18.174</v>
      </c>
      <c r="F19" s="17" t="n">
        <f aca="false">D19</f>
        <v>18.174</v>
      </c>
      <c r="G19" s="17" t="n">
        <f aca="false">$D$19*(1+Inputs!$B$29)</f>
        <v>19.0827</v>
      </c>
      <c r="H19" s="17" t="n">
        <f aca="false">$D$19*(1+Inputs!$B$29)</f>
        <v>19.0827</v>
      </c>
      <c r="I19" s="17" t="n">
        <f aca="false">$D$19*(1+Inputs!$B$29)</f>
        <v>19.0827</v>
      </c>
      <c r="J19" s="17" t="n">
        <f aca="false">$D$19*(1+Inputs!$B$29)</f>
        <v>19.0827</v>
      </c>
      <c r="K19" s="17" t="n">
        <f aca="false">$G$19*(1+Inputs!$B$29)</f>
        <v>20.036835</v>
      </c>
      <c r="L19" s="17" t="n">
        <f aca="false">$G$19*(1+Inputs!$B$29)</f>
        <v>20.036835</v>
      </c>
      <c r="M19" s="17" t="n">
        <f aca="false">$G$19*(1+Inputs!$B$29)</f>
        <v>20.036835</v>
      </c>
      <c r="N19" s="17" t="n">
        <f aca="false">$G$19*(1+Inputs!$B$29)</f>
        <v>20.036835</v>
      </c>
      <c r="O19" s="2"/>
      <c r="P19" s="17" t="n">
        <f aca="false">SUM(C19:F19)</f>
        <v>68.541</v>
      </c>
      <c r="Q19" s="17" t="n">
        <f aca="false">SUM(G19:J19)</f>
        <v>76.3308</v>
      </c>
      <c r="R19" s="17" t="n">
        <f aca="false">SUM(K19:N19)</f>
        <v>80.14734</v>
      </c>
      <c r="S19" s="17" t="n">
        <f aca="false">SUM(E19:F19)</f>
        <v>36.348</v>
      </c>
    </row>
    <row r="20" customFormat="false" ht="15" hidden="false" customHeight="false" outlineLevel="0" collapsed="false">
      <c r="A20" s="4" t="s">
        <v>175</v>
      </c>
      <c r="B20" s="4" t="s">
        <v>176</v>
      </c>
      <c r="C20" s="6" t="n">
        <v>11.441</v>
      </c>
      <c r="D20" s="6" t="n">
        <v>37.826</v>
      </c>
      <c r="E20" s="17" t="n">
        <f aca="false">E16-E17-E18-E19</f>
        <v>-10.273</v>
      </c>
      <c r="F20" s="17" t="n">
        <f aca="false">F16-F17-F18-F19</f>
        <v>-11.11528</v>
      </c>
      <c r="G20" s="17" t="n">
        <f aca="false">G16-G17-G18-G19</f>
        <v>14.3039531111208</v>
      </c>
      <c r="H20" s="17" t="n">
        <f aca="false">H16-H17-H18-H19</f>
        <v>44.8067339768416</v>
      </c>
      <c r="I20" s="17" t="n">
        <f aca="false">I16-I17-I18-I19</f>
        <v>6.5819891706715</v>
      </c>
      <c r="J20" s="17" t="n">
        <f aca="false">J16-J17-J18-J19</f>
        <v>11.9062374384594</v>
      </c>
      <c r="K20" s="17" t="n">
        <f aca="false">K16-K17-K18-K19</f>
        <v>15.4362064555753</v>
      </c>
      <c r="L20" s="17" t="n">
        <f aca="false">L16-L17-L18-L19</f>
        <v>51.6775736610812</v>
      </c>
      <c r="M20" s="17" t="n">
        <f aca="false">M16-M17-M18-M19</f>
        <v>6.19300264170044</v>
      </c>
      <c r="N20" s="17" t="n">
        <f aca="false">N16-N17-N18-N19</f>
        <v>12.4695001177312</v>
      </c>
      <c r="O20" s="2"/>
      <c r="P20" s="17" t="n">
        <f aca="false">SUM(C20:F20)</f>
        <v>27.87872</v>
      </c>
      <c r="Q20" s="17" t="n">
        <f aca="false">SUM(G20:J20)</f>
        <v>77.5989136970932</v>
      </c>
      <c r="R20" s="17" t="n">
        <f aca="false">SUM(K20:N20)</f>
        <v>85.7762828760882</v>
      </c>
      <c r="S20" s="17" t="n">
        <f aca="false">SUM(E20:F20)</f>
        <v>-21.38828</v>
      </c>
    </row>
    <row r="21" customFormat="false" ht="15" hidden="false" customHeight="false" outlineLevel="0" collapsed="false">
      <c r="A21" s="4" t="s">
        <v>177</v>
      </c>
      <c r="B21" s="4"/>
      <c r="C21" s="6" t="n">
        <v>0.025</v>
      </c>
      <c r="D21" s="6" t="n">
        <v>1.266</v>
      </c>
      <c r="E21" s="17" t="n">
        <f aca="false">MAX(0,E20)*Inputs!$B$31</f>
        <v>0</v>
      </c>
      <c r="F21" s="17" t="n">
        <f aca="false">MAX(0,F20)*Inputs!$B$31</f>
        <v>0</v>
      </c>
      <c r="G21" s="17" t="n">
        <f aca="false">MAX(0,G20)*Inputs!$B$31</f>
        <v>0.429118593333623</v>
      </c>
      <c r="H21" s="17" t="n">
        <f aca="false">MAX(0,H20)*Inputs!$B$31</f>
        <v>1.34420201930525</v>
      </c>
      <c r="I21" s="17" t="n">
        <f aca="false">MAX(0,I20)*Inputs!$B$31</f>
        <v>0.197459675120145</v>
      </c>
      <c r="J21" s="17" t="n">
        <f aca="false">MAX(0,J20)*Inputs!$B$31</f>
        <v>0.357187123153782</v>
      </c>
      <c r="K21" s="17" t="n">
        <f aca="false">MAX(0,K20)*Inputs!$B$31</f>
        <v>0.46308619366726</v>
      </c>
      <c r="L21" s="17" t="n">
        <f aca="false">MAX(0,L20)*Inputs!$B$31</f>
        <v>1.55032720983244</v>
      </c>
      <c r="M21" s="17" t="n">
        <f aca="false">MAX(0,M20)*Inputs!$B$31</f>
        <v>0.185790079251013</v>
      </c>
      <c r="N21" s="17" t="n">
        <f aca="false">MAX(0,N20)*Inputs!$B$31</f>
        <v>0.374085003531937</v>
      </c>
      <c r="O21" s="2"/>
      <c r="P21" s="17" t="n">
        <f aca="false">SUM(C21:F21)</f>
        <v>1.291</v>
      </c>
      <c r="Q21" s="17" t="n">
        <f aca="false">SUM(G21:J21)</f>
        <v>2.3279674109128</v>
      </c>
      <c r="R21" s="17" t="n">
        <f aca="false">SUM(K21:N21)</f>
        <v>2.57328848628265</v>
      </c>
      <c r="S21" s="17" t="n">
        <f aca="false">SUM(E21:F21)</f>
        <v>0</v>
      </c>
    </row>
    <row r="22" customFormat="false" ht="15" hidden="false" customHeight="false" outlineLevel="0" collapsed="false">
      <c r="A22" s="1" t="s">
        <v>178</v>
      </c>
      <c r="B22" s="4"/>
      <c r="C22" s="15" t="n">
        <f aca="false">C20-C21</f>
        <v>11.416</v>
      </c>
      <c r="D22" s="15" t="n">
        <f aca="false">D20-D21</f>
        <v>36.56</v>
      </c>
      <c r="E22" s="15" t="n">
        <f aca="false">E20-E21</f>
        <v>-10.273</v>
      </c>
      <c r="F22" s="15" t="n">
        <f aca="false">F20-F21</f>
        <v>-11.11528</v>
      </c>
      <c r="G22" s="15" t="n">
        <f aca="false">G20-G21</f>
        <v>13.8748345177871</v>
      </c>
      <c r="H22" s="15" t="n">
        <f aca="false">H20-H21</f>
        <v>43.4625319575363</v>
      </c>
      <c r="I22" s="15" t="n">
        <f aca="false">I20-I21</f>
        <v>6.38452949555135</v>
      </c>
      <c r="J22" s="15" t="n">
        <f aca="false">J20-J21</f>
        <v>11.5490503153056</v>
      </c>
      <c r="K22" s="15" t="n">
        <f aca="false">K20-K21</f>
        <v>14.9731202619081</v>
      </c>
      <c r="L22" s="15" t="n">
        <f aca="false">L20-L21</f>
        <v>50.1272464512488</v>
      </c>
      <c r="M22" s="15" t="n">
        <f aca="false">M20-M21</f>
        <v>6.00721256244942</v>
      </c>
      <c r="N22" s="15" t="n">
        <f aca="false">N20-N21</f>
        <v>12.0954151141993</v>
      </c>
      <c r="O22" s="2"/>
      <c r="P22" s="15" t="n">
        <f aca="false">SUM(C22:F22)</f>
        <v>26.58772</v>
      </c>
      <c r="Q22" s="15" t="n">
        <f aca="false">SUM(G22:J22)</f>
        <v>75.2709462861804</v>
      </c>
      <c r="R22" s="15" t="n">
        <f aca="false">SUM(K22:N22)</f>
        <v>83.2029943898056</v>
      </c>
      <c r="S22" s="15" t="n">
        <f aca="false">SUM(E22:F22)</f>
        <v>-21.38828</v>
      </c>
    </row>
    <row r="23" customFormat="false" ht="15" hidden="false" customHeight="false" outlineLevel="0" collapsed="false">
      <c r="A23" s="4" t="s">
        <v>179</v>
      </c>
      <c r="B23" s="4" t="s">
        <v>180</v>
      </c>
      <c r="C23" s="17" t="n">
        <f aca="false">C16-C17-C18</f>
        <v>25.95</v>
      </c>
      <c r="D23" s="17" t="n">
        <f aca="false">D16-D17-D18</f>
        <v>56.016</v>
      </c>
      <c r="E23" s="17" t="n">
        <f aca="false">E16-E17-E18</f>
        <v>7.90099999999997</v>
      </c>
      <c r="F23" s="17" t="n">
        <f aca="false">F16-F17-F18</f>
        <v>7.05872000000001</v>
      </c>
      <c r="G23" s="17" t="n">
        <f aca="false">G16-G17-G18</f>
        <v>33.3866531111208</v>
      </c>
      <c r="H23" s="17" t="n">
        <f aca="false">H16-H17-H18</f>
        <v>63.8894339768416</v>
      </c>
      <c r="I23" s="17" t="n">
        <f aca="false">I16-I17-I18</f>
        <v>25.6646891706715</v>
      </c>
      <c r="J23" s="17" t="n">
        <f aca="false">J16-J17-J18</f>
        <v>30.9889374384594</v>
      </c>
      <c r="K23" s="17" t="n">
        <f aca="false">K16-K17-K18</f>
        <v>35.4730414555753</v>
      </c>
      <c r="L23" s="17" t="n">
        <f aca="false">L16-L17-L18</f>
        <v>71.7144086610812</v>
      </c>
      <c r="M23" s="17" t="n">
        <f aca="false">M16-M17-M18</f>
        <v>26.2298376417004</v>
      </c>
      <c r="N23" s="17" t="n">
        <f aca="false">N16-N17-N18</f>
        <v>32.5063351177313</v>
      </c>
      <c r="O23" s="2"/>
      <c r="P23" s="17" t="n">
        <f aca="false">SUM(C23:F23)</f>
        <v>96.92572</v>
      </c>
      <c r="Q23" s="17" t="n">
        <f aca="false">SUM(G23:J23)</f>
        <v>153.929713697093</v>
      </c>
      <c r="R23" s="17" t="n">
        <f aca="false">SUM(K23:N23)</f>
        <v>165.923622876088</v>
      </c>
      <c r="S23" s="17" t="n">
        <f aca="false">SUM(E23:F23)</f>
        <v>14.95972</v>
      </c>
    </row>
    <row r="24" customFormat="false" ht="15" hidden="false" customHeight="false" outlineLevel="0" collapsed="false">
      <c r="A24" s="4" t="s">
        <v>181</v>
      </c>
      <c r="B24" s="4" t="s">
        <v>182</v>
      </c>
      <c r="C24" s="6" t="n">
        <v>213.7</v>
      </c>
      <c r="D24" s="6" t="n">
        <v>215.024</v>
      </c>
      <c r="E24" s="17" t="n">
        <f aca="false">D24*(1+Inputs!$B$30)</f>
        <v>216.314144</v>
      </c>
      <c r="F24" s="17" t="n">
        <f aca="false">E24*(1+Inputs!$B$30)</f>
        <v>217.612028864</v>
      </c>
      <c r="G24" s="17" t="n">
        <f aca="false">F24*(1+Inputs!$B$30)</f>
        <v>218.917701037184</v>
      </c>
      <c r="H24" s="17" t="n">
        <f aca="false">G24*(1+Inputs!$B$30)</f>
        <v>220.231207243407</v>
      </c>
      <c r="I24" s="17" t="n">
        <f aca="false">H24*(1+Inputs!$B$30)</f>
        <v>221.552594486868</v>
      </c>
      <c r="J24" s="17" t="n">
        <f aca="false">I24*(1+Inputs!$B$30)</f>
        <v>222.881910053789</v>
      </c>
      <c r="K24" s="17" t="n">
        <f aca="false">J24*(1+Inputs!$B$30)</f>
        <v>224.219201514112</v>
      </c>
      <c r="L24" s="17" t="n">
        <f aca="false">K24*(1+Inputs!$B$30)</f>
        <v>225.564516723196</v>
      </c>
      <c r="M24" s="17" t="n">
        <f aca="false">L24*(1+Inputs!$B$30)</f>
        <v>226.917903823535</v>
      </c>
      <c r="N24" s="17" t="n">
        <f aca="false">M24*(1+Inputs!$B$30)</f>
        <v>228.279411246477</v>
      </c>
      <c r="O24" s="2"/>
      <c r="P24" s="17" t="n">
        <f aca="false">AVERAGE(C24:F24)</f>
        <v>215.662543216</v>
      </c>
      <c r="Q24" s="17" t="n">
        <f aca="false">AVERAGE(G24:J24)</f>
        <v>220.895853205312</v>
      </c>
      <c r="R24" s="17" t="n">
        <f aca="false">AVERAGE(K24:N24)</f>
        <v>226.24525832683</v>
      </c>
      <c r="S24" s="2"/>
    </row>
    <row r="25" customFormat="false" ht="15" hidden="false" customHeight="false" outlineLevel="0" collapsed="false">
      <c r="A25" s="1" t="s">
        <v>183</v>
      </c>
      <c r="B25" s="4"/>
      <c r="C25" s="18" t="n">
        <f aca="false">C23/C24</f>
        <v>0.121431913897988</v>
      </c>
      <c r="D25" s="18" t="n">
        <f aca="false">D23/D24</f>
        <v>0.260510454646923</v>
      </c>
      <c r="E25" s="18" t="n">
        <f aca="false">E23/E24</f>
        <v>0.036525581979512</v>
      </c>
      <c r="F25" s="18" t="n">
        <f aca="false">F23/F24</f>
        <v>0.0324371774706051</v>
      </c>
      <c r="G25" s="18" t="n">
        <f aca="false">G23/G24</f>
        <v>0.152507782390104</v>
      </c>
      <c r="H25" s="18" t="n">
        <f aca="false">H23/H24</f>
        <v>0.290101638076337</v>
      </c>
      <c r="I25" s="18" t="n">
        <f aca="false">I23/I24</f>
        <v>0.115840165312046</v>
      </c>
      <c r="J25" s="18" t="n">
        <f aca="false">J23/J24</f>
        <v>0.139037472493756</v>
      </c>
      <c r="K25" s="18" t="n">
        <f aca="false">K23/K24</f>
        <v>0.158206974318133</v>
      </c>
      <c r="L25" s="18" t="n">
        <f aca="false">L23/L24</f>
        <v>0.31793302290132</v>
      </c>
      <c r="M25" s="18" t="n">
        <f aca="false">M23/M24</f>
        <v>0.115591750142811</v>
      </c>
      <c r="N25" s="18" t="n">
        <f aca="false">N23/N24</f>
        <v>0.142397139278731</v>
      </c>
      <c r="O25" s="2"/>
      <c r="P25" s="18" t="n">
        <f aca="false">P23/P24</f>
        <v>0.449432333286187</v>
      </c>
      <c r="Q25" s="18" t="n">
        <f aca="false">Q23/Q24</f>
        <v>0.69684293056431</v>
      </c>
      <c r="R25" s="18" t="n">
        <f aca="false">R23/R24</f>
        <v>0.733379448935888</v>
      </c>
      <c r="S25" s="2"/>
    </row>
    <row r="26" customFormat="false" ht="15" hidden="false" customHeight="false" outlineLevel="0" collapsed="false">
      <c r="A26" s="4" t="s">
        <v>184</v>
      </c>
      <c r="B26" s="4"/>
      <c r="C26" s="19" t="n">
        <f aca="false">C22/C24</f>
        <v>0.0534206832007487</v>
      </c>
      <c r="D26" s="19" t="n">
        <f aca="false">D22/D24</f>
        <v>0.170027531810403</v>
      </c>
      <c r="E26" s="19" t="n">
        <f aca="false">E22/E24</f>
        <v>-0.047491115513926</v>
      </c>
      <c r="F26" s="19" t="n">
        <f aca="false">F22/F24</f>
        <v>-0.0510784263996116</v>
      </c>
      <c r="G26" s="19" t="n">
        <f aca="false">G22/G24</f>
        <v>0.0633792263122224</v>
      </c>
      <c r="H26" s="19" t="n">
        <f aca="false">H22/H24</f>
        <v>0.197349560498481</v>
      </c>
      <c r="I26" s="19" t="n">
        <f aca="false">I22/I24</f>
        <v>0.0288172183690216</v>
      </c>
      <c r="J26" s="19" t="n">
        <f aca="false">J22/J24</f>
        <v>0.0518169030071505</v>
      </c>
      <c r="K26" s="19" t="n">
        <f aca="false">K22/K24</f>
        <v>0.0667789384709129</v>
      </c>
      <c r="L26" s="19" t="n">
        <f aca="false">L22/L24</f>
        <v>0.222230194622157</v>
      </c>
      <c r="M26" s="19" t="n">
        <f aca="false">M22/M24</f>
        <v>0.0264730656384037</v>
      </c>
      <c r="N26" s="19" t="n">
        <f aca="false">N22/N24</f>
        <v>0.052985133648955</v>
      </c>
      <c r="O26" s="2"/>
      <c r="P26" s="19" t="n">
        <f aca="false">P22/P24</f>
        <v>0.123283902728397</v>
      </c>
      <c r="Q26" s="19" t="n">
        <f aca="false">Q22/Q24</f>
        <v>0.340753097869247</v>
      </c>
      <c r="R26" s="19" t="n">
        <f aca="false">R22/R24</f>
        <v>0.367755748806068</v>
      </c>
      <c r="S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15" hidden="false" customHeight="false" outlineLevel="0" collapsed="false">
      <c r="A28" s="1" t="s">
        <v>185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customFormat="false" ht="15" hidden="false" customHeight="false" outlineLevel="0" collapsed="false">
      <c r="A29" s="4" t="s">
        <v>186</v>
      </c>
      <c r="B29" s="4" t="s">
        <v>187</v>
      </c>
      <c r="C29" s="2"/>
      <c r="D29" s="6" t="n">
        <v>693.453</v>
      </c>
      <c r="E29" s="17" t="n">
        <f aca="false">D29+E63</f>
        <v>712.952547329244</v>
      </c>
      <c r="F29" s="17" t="n">
        <f aca="false">E29+F63</f>
        <v>720.222921753784</v>
      </c>
      <c r="G29" s="17" t="n">
        <f aca="false">F29+G63</f>
        <v>791.490267883698</v>
      </c>
      <c r="H29" s="17" t="n">
        <f aca="false">G29+H63</f>
        <v>839.428656995597</v>
      </c>
      <c r="I29" s="17" t="n">
        <f aca="false">H29+I63</f>
        <v>888.141194269838</v>
      </c>
      <c r="J29" s="17" t="n">
        <f aca="false">I29+J63</f>
        <v>918.903786809194</v>
      </c>
      <c r="K29" s="17" t="n">
        <f aca="false">J29+K63</f>
        <v>991.917835113752</v>
      </c>
      <c r="L29" s="17" t="n">
        <f aca="false">K29+L63</f>
        <v>1045.31980001815</v>
      </c>
      <c r="M29" s="17" t="n">
        <f aca="false">L29+M63</f>
        <v>1099.3796904461</v>
      </c>
      <c r="N29" s="17" t="n">
        <f aca="false">M29+N63</f>
        <v>1132.0546009167</v>
      </c>
      <c r="O29" s="2"/>
      <c r="P29" s="20" t="n">
        <f aca="false">F29</f>
        <v>720.222921753784</v>
      </c>
      <c r="Q29" s="20" t="n">
        <f aca="false">J29</f>
        <v>918.903786809194</v>
      </c>
      <c r="R29" s="20" t="n">
        <f aca="false">N29</f>
        <v>1132.0546009167</v>
      </c>
      <c r="S29" s="2"/>
    </row>
    <row r="30" customFormat="false" ht="15" hidden="false" customHeight="false" outlineLevel="0" collapsed="false">
      <c r="A30" s="4" t="s">
        <v>188</v>
      </c>
      <c r="B30" s="4"/>
      <c r="C30" s="2"/>
      <c r="D30" s="6" t="n">
        <v>296.893</v>
      </c>
      <c r="E30" s="17" t="n">
        <f aca="false">E8*Inputs!$B$33</f>
        <v>291.195133693163</v>
      </c>
      <c r="F30" s="17" t="n">
        <f aca="false">F8*Inputs!$B$33</f>
        <v>295.456363244993</v>
      </c>
      <c r="G30" s="17" t="n">
        <f aca="false">G8*Inputs!$B$33</f>
        <v>355.655797682073</v>
      </c>
      <c r="H30" s="17" t="n">
        <f aca="false">H8*Inputs!$B$33</f>
        <v>357.521125292294</v>
      </c>
      <c r="I30" s="17" t="n">
        <f aca="false">I8*Inputs!$B$33</f>
        <v>361.251780512735</v>
      </c>
      <c r="J30" s="17" t="n">
        <f aca="false">J8*Inputs!$B$33</f>
        <v>364.982435733176</v>
      </c>
      <c r="K30" s="17" t="n">
        <f aca="false">K8*Inputs!$B$33</f>
        <v>423.195579792943</v>
      </c>
      <c r="L30" s="17" t="n">
        <f aca="false">L8*Inputs!$B$33</f>
        <v>425.084845774161</v>
      </c>
      <c r="M30" s="17" t="n">
        <f aca="false">M8*Inputs!$B$33</f>
        <v>428.863377736598</v>
      </c>
      <c r="N30" s="17" t="n">
        <f aca="false">N8*Inputs!$B$33</f>
        <v>432.641909699035</v>
      </c>
      <c r="O30" s="2"/>
      <c r="P30" s="20" t="n">
        <f aca="false">F30</f>
        <v>295.456363244993</v>
      </c>
      <c r="Q30" s="20" t="n">
        <f aca="false">J30</f>
        <v>364.982435733176</v>
      </c>
      <c r="R30" s="20" t="n">
        <f aca="false">N30</f>
        <v>432.641909699035</v>
      </c>
      <c r="S30" s="2"/>
    </row>
    <row r="31" customFormat="false" ht="15" hidden="false" customHeight="false" outlineLevel="0" collapsed="false">
      <c r="A31" s="4" t="s">
        <v>189</v>
      </c>
      <c r="B31" s="4"/>
      <c r="C31" s="2"/>
      <c r="D31" s="6" t="n">
        <v>8.258</v>
      </c>
      <c r="E31" s="17" t="n">
        <f aca="false">D31</f>
        <v>8.258</v>
      </c>
      <c r="F31" s="17" t="n">
        <f aca="false">E31</f>
        <v>8.258</v>
      </c>
      <c r="G31" s="17" t="n">
        <f aca="false">F31</f>
        <v>8.258</v>
      </c>
      <c r="H31" s="17" t="n">
        <f aca="false">G31</f>
        <v>8.258</v>
      </c>
      <c r="I31" s="17" t="n">
        <f aca="false">H31</f>
        <v>8.258</v>
      </c>
      <c r="J31" s="17" t="n">
        <f aca="false">I31</f>
        <v>8.258</v>
      </c>
      <c r="K31" s="17" t="n">
        <f aca="false">J31</f>
        <v>8.258</v>
      </c>
      <c r="L31" s="17" t="n">
        <f aca="false">K31</f>
        <v>8.258</v>
      </c>
      <c r="M31" s="17" t="n">
        <f aca="false">L31</f>
        <v>8.258</v>
      </c>
      <c r="N31" s="17" t="n">
        <f aca="false">M31</f>
        <v>8.258</v>
      </c>
      <c r="O31" s="2"/>
      <c r="P31" s="20" t="n">
        <f aca="false">F31</f>
        <v>8.258</v>
      </c>
      <c r="Q31" s="20" t="n">
        <f aca="false">J31</f>
        <v>8.258</v>
      </c>
      <c r="R31" s="20" t="n">
        <f aca="false">N31</f>
        <v>8.258</v>
      </c>
      <c r="S31" s="2"/>
    </row>
    <row r="32" customFormat="false" ht="15" hidden="false" customHeight="false" outlineLevel="0" collapsed="false">
      <c r="A32" s="4" t="s">
        <v>190</v>
      </c>
      <c r="B32" s="4"/>
      <c r="C32" s="2"/>
      <c r="D32" s="6" t="n">
        <v>161.845</v>
      </c>
      <c r="E32" s="17" t="n">
        <f aca="false">E8*Inputs!$B$34</f>
        <v>158.738927534735</v>
      </c>
      <c r="F32" s="17" t="n">
        <f aca="false">F8*Inputs!$B$34</f>
        <v>161.061847565911</v>
      </c>
      <c r="G32" s="17" t="n">
        <f aca="false">G8*Inputs!$B$34</f>
        <v>193.878308265453</v>
      </c>
      <c r="H32" s="17" t="n">
        <f aca="false">H8*Inputs!$B$34</f>
        <v>194.895152539572</v>
      </c>
      <c r="I32" s="17" t="n">
        <f aca="false">I8*Inputs!$B$34</f>
        <v>196.928841087812</v>
      </c>
      <c r="J32" s="17" t="n">
        <f aca="false">J8*Inputs!$B$34</f>
        <v>198.962529636051</v>
      </c>
      <c r="K32" s="17" t="n">
        <f aca="false">K8*Inputs!$B$34</f>
        <v>230.696205742772</v>
      </c>
      <c r="L32" s="17" t="n">
        <f aca="false">L8*Inputs!$B$34</f>
        <v>231.72609951841</v>
      </c>
      <c r="M32" s="17" t="n">
        <f aca="false">M8*Inputs!$B$34</f>
        <v>233.785887069684</v>
      </c>
      <c r="N32" s="17" t="n">
        <f aca="false">N8*Inputs!$B$34</f>
        <v>235.845674620959</v>
      </c>
      <c r="O32" s="2"/>
      <c r="P32" s="20" t="n">
        <f aca="false">F32</f>
        <v>161.061847565911</v>
      </c>
      <c r="Q32" s="20" t="n">
        <f aca="false">J32</f>
        <v>198.962529636051</v>
      </c>
      <c r="R32" s="20" t="n">
        <f aca="false">N32</f>
        <v>235.845674620959</v>
      </c>
      <c r="S32" s="2"/>
    </row>
    <row r="33" customFormat="false" ht="15" hidden="false" customHeight="false" outlineLevel="0" collapsed="false">
      <c r="A33" s="4" t="s">
        <v>191</v>
      </c>
      <c r="B33" s="4"/>
      <c r="C33" s="2"/>
      <c r="D33" s="6" t="n">
        <v>66.211</v>
      </c>
      <c r="E33" s="17" t="n">
        <f aca="false">D33+Inputs!$B$37-E17</f>
        <v>67.357</v>
      </c>
      <c r="F33" s="17" t="n">
        <f aca="false">E33+Inputs!$B$37-F17</f>
        <v>68.503</v>
      </c>
      <c r="G33" s="17" t="n">
        <f aca="false">F33+Inputs!$B$37-G17</f>
        <v>68.8636</v>
      </c>
      <c r="H33" s="17" t="n">
        <f aca="false">G33+Inputs!$B$37-H17</f>
        <v>69.2242</v>
      </c>
      <c r="I33" s="17" t="n">
        <f aca="false">H33+Inputs!$B$37-I17</f>
        <v>69.5848</v>
      </c>
      <c r="J33" s="17" t="n">
        <f aca="false">I33+Inputs!$B$37-J17</f>
        <v>69.9454</v>
      </c>
      <c r="K33" s="17" t="n">
        <f aca="false">J33+Inputs!$B$37-K17</f>
        <v>69.44206</v>
      </c>
      <c r="L33" s="17" t="n">
        <f aca="false">K33+Inputs!$B$37-L17</f>
        <v>68.93872</v>
      </c>
      <c r="M33" s="17" t="n">
        <f aca="false">L33+Inputs!$B$37-M17</f>
        <v>68.43538</v>
      </c>
      <c r="N33" s="17" t="n">
        <f aca="false">M33+Inputs!$B$37-N17</f>
        <v>67.93204</v>
      </c>
      <c r="O33" s="2"/>
      <c r="P33" s="20" t="n">
        <f aca="false">F33</f>
        <v>68.503</v>
      </c>
      <c r="Q33" s="20" t="n">
        <f aca="false">J33</f>
        <v>69.9454</v>
      </c>
      <c r="R33" s="20" t="n">
        <f aca="false">N33</f>
        <v>67.93204</v>
      </c>
      <c r="S33" s="2"/>
    </row>
    <row r="34" customFormat="false" ht="15" hidden="false" customHeight="false" outlineLevel="0" collapsed="false">
      <c r="A34" s="4" t="s">
        <v>192</v>
      </c>
      <c r="B34" s="4"/>
      <c r="C34" s="2"/>
      <c r="D34" s="6" t="n">
        <v>52.378</v>
      </c>
      <c r="E34" s="17" t="n">
        <f aca="false">D34</f>
        <v>52.378</v>
      </c>
      <c r="F34" s="17" t="n">
        <f aca="false">E34</f>
        <v>52.378</v>
      </c>
      <c r="G34" s="17" t="n">
        <f aca="false">F34</f>
        <v>52.378</v>
      </c>
      <c r="H34" s="17" t="n">
        <f aca="false">G34</f>
        <v>52.378</v>
      </c>
      <c r="I34" s="17" t="n">
        <f aca="false">H34</f>
        <v>52.378</v>
      </c>
      <c r="J34" s="17" t="n">
        <f aca="false">I34</f>
        <v>52.378</v>
      </c>
      <c r="K34" s="17" t="n">
        <f aca="false">J34</f>
        <v>52.378</v>
      </c>
      <c r="L34" s="17" t="n">
        <f aca="false">K34</f>
        <v>52.378</v>
      </c>
      <c r="M34" s="17" t="n">
        <f aca="false">L34</f>
        <v>52.378</v>
      </c>
      <c r="N34" s="17" t="n">
        <f aca="false">M34</f>
        <v>52.378</v>
      </c>
      <c r="O34" s="2"/>
      <c r="P34" s="20" t="n">
        <f aca="false">F34</f>
        <v>52.378</v>
      </c>
      <c r="Q34" s="20" t="n">
        <f aca="false">J34</f>
        <v>52.378</v>
      </c>
      <c r="R34" s="20" t="n">
        <f aca="false">N34</f>
        <v>52.378</v>
      </c>
      <c r="S34" s="2"/>
    </row>
    <row r="35" customFormat="false" ht="15" hidden="false" customHeight="false" outlineLevel="0" collapsed="false">
      <c r="A35" s="1" t="s">
        <v>193</v>
      </c>
      <c r="B35" s="4"/>
      <c r="C35" s="2"/>
      <c r="D35" s="20" t="n">
        <f aca="false">SUM(D29:D34)</f>
        <v>1279.038</v>
      </c>
      <c r="E35" s="17" t="n">
        <f aca="false">SUM(E29:E34)</f>
        <v>1290.87960855714</v>
      </c>
      <c r="F35" s="17" t="n">
        <f aca="false">SUM(F29:F34)</f>
        <v>1305.88013256469</v>
      </c>
      <c r="G35" s="17" t="n">
        <f aca="false">SUM(G29:G34)</f>
        <v>1470.52397383122</v>
      </c>
      <c r="H35" s="17" t="n">
        <f aca="false">SUM(H29:H34)</f>
        <v>1521.70513482746</v>
      </c>
      <c r="I35" s="17" t="n">
        <f aca="false">SUM(I29:I34)</f>
        <v>1576.54261587038</v>
      </c>
      <c r="J35" s="17" t="n">
        <f aca="false">SUM(J29:J34)</f>
        <v>1613.43015217842</v>
      </c>
      <c r="K35" s="17" t="n">
        <f aca="false">SUM(K29:K34)</f>
        <v>1775.88768064947</v>
      </c>
      <c r="L35" s="17" t="n">
        <f aca="false">SUM(L29:L34)</f>
        <v>1831.70546531072</v>
      </c>
      <c r="M35" s="17" t="n">
        <f aca="false">SUM(M29:M34)</f>
        <v>1891.10033525239</v>
      </c>
      <c r="N35" s="17" t="n">
        <f aca="false">SUM(N29:N34)</f>
        <v>1929.1102252367</v>
      </c>
      <c r="O35" s="2"/>
      <c r="P35" s="20" t="n">
        <f aca="false">F35</f>
        <v>1305.88013256469</v>
      </c>
      <c r="Q35" s="20" t="n">
        <f aca="false">J35</f>
        <v>1613.43015217842</v>
      </c>
      <c r="R35" s="20" t="n">
        <f aca="false">N35</f>
        <v>1929.1102252367</v>
      </c>
      <c r="S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customFormat="false" ht="15" hidden="false" customHeight="false" outlineLevel="0" collapsed="false">
      <c r="A37" s="4" t="s">
        <v>194</v>
      </c>
      <c r="B37" s="4" t="s">
        <v>195</v>
      </c>
      <c r="C37" s="2"/>
      <c r="D37" s="6" t="n">
        <v>612.748</v>
      </c>
      <c r="E37" s="17" t="n">
        <f aca="false">E11/91*Inputs!$B$36</f>
        <v>616.737923076923</v>
      </c>
      <c r="F37" s="17" t="n">
        <f aca="false">F11/91*Inputs!$B$36</f>
        <v>623.646564</v>
      </c>
      <c r="G37" s="17" t="n">
        <f aca="false">G11/91*Inputs!$B$36</f>
        <v>748.219652318929</v>
      </c>
      <c r="H37" s="17" t="n">
        <f aca="false">H11/91*Inputs!$B$36</f>
        <v>736.082834502766</v>
      </c>
      <c r="I37" s="17" t="n">
        <f aca="false">I11/91*Inputs!$B$36</f>
        <v>764.477592340403</v>
      </c>
      <c r="J37" s="17" t="n">
        <f aca="false">J11/91*Inputs!$B$36</f>
        <v>769.757884623401</v>
      </c>
      <c r="K37" s="17" t="n">
        <f aca="false">K11/91*Inputs!$B$36</f>
        <v>890.308133985872</v>
      </c>
      <c r="L37" s="17" t="n">
        <f aca="false">L11/91*Inputs!$B$36</f>
        <v>875.186488423038</v>
      </c>
      <c r="M37" s="17" t="n">
        <f aca="false">M11/91*Inputs!$B$36</f>
        <v>907.556613256581</v>
      </c>
      <c r="N37" s="17" t="n">
        <f aca="false">N11/91*Inputs!$B$36</f>
        <v>912.453555581019</v>
      </c>
      <c r="O37" s="2"/>
      <c r="P37" s="20" t="n">
        <f aca="false">F37</f>
        <v>623.646564</v>
      </c>
      <c r="Q37" s="20" t="n">
        <f aca="false">J37</f>
        <v>769.757884623401</v>
      </c>
      <c r="R37" s="20" t="n">
        <f aca="false">N37</f>
        <v>912.453555581019</v>
      </c>
      <c r="S37" s="2"/>
    </row>
    <row r="38" customFormat="false" ht="15" hidden="false" customHeight="false" outlineLevel="0" collapsed="false">
      <c r="A38" s="4" t="s">
        <v>196</v>
      </c>
      <c r="B38" s="4"/>
      <c r="C38" s="2"/>
      <c r="D38" s="6" t="n">
        <v>32.27</v>
      </c>
      <c r="E38" s="17" t="n">
        <f aca="false">E8*Inputs!$B$35</f>
        <v>31.650685480218</v>
      </c>
      <c r="F38" s="17" t="n">
        <f aca="false">F8*Inputs!$B$35</f>
        <v>32.1138485646881</v>
      </c>
      <c r="G38" s="17" t="n">
        <f aca="false">G8*Inputs!$B$35</f>
        <v>38.6570669945081</v>
      </c>
      <c r="H38" s="17" t="n">
        <f aca="false">H8*Inputs!$B$35</f>
        <v>38.8598138493744</v>
      </c>
      <c r="I38" s="17" t="n">
        <f aca="false">I8*Inputs!$B$35</f>
        <v>39.265307559107</v>
      </c>
      <c r="J38" s="17" t="n">
        <f aca="false">J8*Inputs!$B$35</f>
        <v>39.6708012688396</v>
      </c>
      <c r="K38" s="17" t="n">
        <f aca="false">K8*Inputs!$B$35</f>
        <v>45.9981251155072</v>
      </c>
      <c r="L38" s="17" t="n">
        <f aca="false">L8*Inputs!$B$35</f>
        <v>46.2034738883442</v>
      </c>
      <c r="M38" s="17" t="n">
        <f aca="false">M8*Inputs!$B$35</f>
        <v>46.6141714340184</v>
      </c>
      <c r="N38" s="17" t="n">
        <f aca="false">N8*Inputs!$B$35</f>
        <v>47.0248689796926</v>
      </c>
      <c r="O38" s="2"/>
      <c r="P38" s="20" t="n">
        <f aca="false">F38</f>
        <v>32.1138485646881</v>
      </c>
      <c r="Q38" s="20" t="n">
        <f aca="false">J38</f>
        <v>39.6708012688396</v>
      </c>
      <c r="R38" s="20" t="n">
        <f aca="false">N38</f>
        <v>47.0248689796926</v>
      </c>
      <c r="S38" s="2"/>
    </row>
    <row r="39" customFormat="false" ht="15" hidden="false" customHeight="false" outlineLevel="0" collapsed="false">
      <c r="A39" s="4" t="s">
        <v>197</v>
      </c>
      <c r="B39" s="4"/>
      <c r="C39" s="2"/>
      <c r="D39" s="6" t="n">
        <v>44.833</v>
      </c>
      <c r="E39" s="17" t="n">
        <f aca="false">D39</f>
        <v>44.833</v>
      </c>
      <c r="F39" s="17" t="n">
        <f aca="false">E39</f>
        <v>44.833</v>
      </c>
      <c r="G39" s="17" t="n">
        <f aca="false">F39</f>
        <v>44.833</v>
      </c>
      <c r="H39" s="17" t="n">
        <f aca="false">G39</f>
        <v>44.833</v>
      </c>
      <c r="I39" s="17" t="n">
        <f aca="false">H39</f>
        <v>44.833</v>
      </c>
      <c r="J39" s="17" t="n">
        <f aca="false">I39</f>
        <v>44.833</v>
      </c>
      <c r="K39" s="17" t="n">
        <f aca="false">J39</f>
        <v>44.833</v>
      </c>
      <c r="L39" s="17" t="n">
        <f aca="false">K39</f>
        <v>44.833</v>
      </c>
      <c r="M39" s="17" t="n">
        <f aca="false">L39</f>
        <v>44.833</v>
      </c>
      <c r="N39" s="17" t="n">
        <f aca="false">M39</f>
        <v>44.833</v>
      </c>
      <c r="O39" s="2"/>
      <c r="P39" s="20" t="n">
        <f aca="false">F39</f>
        <v>44.833</v>
      </c>
      <c r="Q39" s="20" t="n">
        <f aca="false">J39</f>
        <v>44.833</v>
      </c>
      <c r="R39" s="20" t="n">
        <f aca="false">N39</f>
        <v>44.833</v>
      </c>
      <c r="S39" s="2"/>
    </row>
    <row r="40" customFormat="false" ht="15" hidden="false" customHeight="false" outlineLevel="0" collapsed="false">
      <c r="A40" s="4" t="s">
        <v>198</v>
      </c>
      <c r="B40" s="4" t="s">
        <v>199</v>
      </c>
      <c r="C40" s="2"/>
      <c r="D40" s="6" t="n">
        <v>324.056</v>
      </c>
      <c r="E40" s="17" t="n">
        <f aca="false">MIN(Inputs!$B$41,D40+Inputs!$B$38)</f>
        <v>324.626</v>
      </c>
      <c r="F40" s="17" t="n">
        <f aca="false">MIN(Inputs!$B$41,E40+Inputs!$B$38)</f>
        <v>325.196</v>
      </c>
      <c r="G40" s="17" t="n">
        <f aca="false">MIN(Inputs!$B$41,F40+Inputs!$B$38)</f>
        <v>325.766</v>
      </c>
      <c r="H40" s="17" t="n">
        <f aca="false">MIN(Inputs!$B$41,G40+Inputs!$B$38)</f>
        <v>326.336</v>
      </c>
      <c r="I40" s="17" t="n">
        <f aca="false">MIN(Inputs!$B$41,H40+Inputs!$B$38)</f>
        <v>326.906</v>
      </c>
      <c r="J40" s="17" t="n">
        <f aca="false">MIN(Inputs!$B$41,I40+Inputs!$B$38)</f>
        <v>327.476</v>
      </c>
      <c r="K40" s="17" t="n">
        <f aca="false">MIN(Inputs!$B$41,J40+Inputs!$B$38)</f>
        <v>328.046</v>
      </c>
      <c r="L40" s="17" t="n">
        <f aca="false">MIN(Inputs!$B$41,K40+Inputs!$B$38)</f>
        <v>328.616</v>
      </c>
      <c r="M40" s="17" t="n">
        <f aca="false">MIN(Inputs!$B$41,L40+Inputs!$B$38)</f>
        <v>329.186</v>
      </c>
      <c r="N40" s="17" t="n">
        <f aca="false">MIN(Inputs!$B$41,M40+Inputs!$B$38)</f>
        <v>329.756</v>
      </c>
      <c r="O40" s="2"/>
      <c r="P40" s="20" t="n">
        <f aca="false">F40</f>
        <v>325.196</v>
      </c>
      <c r="Q40" s="20" t="n">
        <f aca="false">J40</f>
        <v>327.476</v>
      </c>
      <c r="R40" s="20" t="n">
        <f aca="false">N40</f>
        <v>329.756</v>
      </c>
      <c r="S40" s="2"/>
    </row>
    <row r="41" customFormat="false" ht="15" hidden="false" customHeight="false" outlineLevel="0" collapsed="false">
      <c r="A41" s="1" t="s">
        <v>200</v>
      </c>
      <c r="B41" s="4"/>
      <c r="C41" s="2"/>
      <c r="D41" s="20" t="n">
        <f aca="false">SUM(D37:D40)</f>
        <v>1013.907</v>
      </c>
      <c r="E41" s="17" t="n">
        <f aca="false">SUM(E37:E40)</f>
        <v>1017.84760855714</v>
      </c>
      <c r="F41" s="17" t="n">
        <f aca="false">SUM(F37:F40)</f>
        <v>1025.78941256469</v>
      </c>
      <c r="G41" s="17" t="n">
        <f aca="false">SUM(G37:G40)</f>
        <v>1157.47571931344</v>
      </c>
      <c r="H41" s="17" t="n">
        <f aca="false">SUM(H37:H40)</f>
        <v>1146.11164835214</v>
      </c>
      <c r="I41" s="17" t="n">
        <f aca="false">SUM(I37:I40)</f>
        <v>1175.48189989951</v>
      </c>
      <c r="J41" s="17" t="n">
        <f aca="false">SUM(J37:J40)</f>
        <v>1181.73768589224</v>
      </c>
      <c r="K41" s="17" t="n">
        <f aca="false">SUM(K37:K40)</f>
        <v>1309.18525910138</v>
      </c>
      <c r="L41" s="17" t="n">
        <f aca="false">SUM(L37:L40)</f>
        <v>1294.83896231138</v>
      </c>
      <c r="M41" s="17" t="n">
        <f aca="false">SUM(M37:M40)</f>
        <v>1328.1897846906</v>
      </c>
      <c r="N41" s="17" t="n">
        <f aca="false">SUM(N37:N40)</f>
        <v>1334.06742456071</v>
      </c>
      <c r="O41" s="2"/>
      <c r="P41" s="20" t="n">
        <f aca="false">F41</f>
        <v>1025.78941256469</v>
      </c>
      <c r="Q41" s="20" t="n">
        <f aca="false">J41</f>
        <v>1181.73768589224</v>
      </c>
      <c r="R41" s="20" t="n">
        <f aca="false">N41</f>
        <v>1334.06742456071</v>
      </c>
      <c r="S41" s="2"/>
    </row>
    <row r="42" customFormat="false" ht="15" hidden="false" customHeight="false" outlineLevel="0" collapsed="false">
      <c r="A42" s="4" t="s">
        <v>201</v>
      </c>
      <c r="B42" s="4" t="s">
        <v>202</v>
      </c>
      <c r="C42" s="2"/>
      <c r="D42" s="6" t="n">
        <v>265.131</v>
      </c>
      <c r="E42" s="17" t="n">
        <f aca="false">D42+E22+E19</f>
        <v>273.032</v>
      </c>
      <c r="F42" s="17" t="n">
        <f aca="false">E42+F22+F19</f>
        <v>280.09072</v>
      </c>
      <c r="G42" s="17" t="n">
        <f aca="false">F42+G22+G19</f>
        <v>313.048254517787</v>
      </c>
      <c r="H42" s="17" t="n">
        <f aca="false">G42+H22+H19</f>
        <v>375.593486475323</v>
      </c>
      <c r="I42" s="17" t="n">
        <f aca="false">H42+I22+I19</f>
        <v>401.060715970875</v>
      </c>
      <c r="J42" s="17" t="n">
        <f aca="false">I42+J22+J19</f>
        <v>431.69246628618</v>
      </c>
      <c r="K42" s="17" t="n">
        <f aca="false">J42+K22+K19</f>
        <v>466.702421548088</v>
      </c>
      <c r="L42" s="17" t="n">
        <f aca="false">K42+L22+L19</f>
        <v>536.866502999337</v>
      </c>
      <c r="M42" s="17" t="n">
        <f aca="false">L42+M22+M19</f>
        <v>562.910550561787</v>
      </c>
      <c r="N42" s="17" t="n">
        <f aca="false">M42+N22+N19</f>
        <v>595.042800675986</v>
      </c>
      <c r="O42" s="2"/>
      <c r="P42" s="20" t="n">
        <f aca="false">F42</f>
        <v>280.09072</v>
      </c>
      <c r="Q42" s="20" t="n">
        <f aca="false">J42</f>
        <v>431.69246628618</v>
      </c>
      <c r="R42" s="20" t="n">
        <f aca="false">N42</f>
        <v>595.042800675986</v>
      </c>
      <c r="S42" s="2"/>
    </row>
    <row r="43" customFormat="false" ht="15" hidden="false" customHeight="false" outlineLevel="0" collapsed="false">
      <c r="A43" s="1" t="s">
        <v>203</v>
      </c>
      <c r="B43" s="4"/>
      <c r="C43" s="2"/>
      <c r="D43" s="20" t="n">
        <f aca="false">D41+D42</f>
        <v>1279.038</v>
      </c>
      <c r="E43" s="17" t="n">
        <f aca="false">E41+E42</f>
        <v>1290.87960855714</v>
      </c>
      <c r="F43" s="17" t="n">
        <f aca="false">F41+F42</f>
        <v>1305.88013256469</v>
      </c>
      <c r="G43" s="17" t="n">
        <f aca="false">G41+G42</f>
        <v>1470.52397383122</v>
      </c>
      <c r="H43" s="17" t="n">
        <f aca="false">H41+H42</f>
        <v>1521.70513482746</v>
      </c>
      <c r="I43" s="17" t="n">
        <f aca="false">I41+I42</f>
        <v>1576.54261587038</v>
      </c>
      <c r="J43" s="17" t="n">
        <f aca="false">J41+J42</f>
        <v>1613.43015217842</v>
      </c>
      <c r="K43" s="17" t="n">
        <f aca="false">K41+K42</f>
        <v>1775.88768064947</v>
      </c>
      <c r="L43" s="17" t="n">
        <f aca="false">L41+L42</f>
        <v>1831.70546531072</v>
      </c>
      <c r="M43" s="17" t="n">
        <f aca="false">M41+M42</f>
        <v>1891.10033525239</v>
      </c>
      <c r="N43" s="17" t="n">
        <f aca="false">N41+N42</f>
        <v>1929.1102252367</v>
      </c>
      <c r="O43" s="2"/>
      <c r="P43" s="20" t="n">
        <f aca="false">F43</f>
        <v>1305.88013256469</v>
      </c>
      <c r="Q43" s="20" t="n">
        <f aca="false">J43</f>
        <v>1613.43015217842</v>
      </c>
      <c r="R43" s="20" t="n">
        <f aca="false">N43</f>
        <v>1929.1102252367</v>
      </c>
      <c r="S43" s="2"/>
    </row>
    <row r="44" customFormat="false" ht="15" hidden="false" customHeight="false" outlineLevel="0" collapsed="false">
      <c r="A44" s="1" t="s">
        <v>204</v>
      </c>
      <c r="B44" s="4" t="s">
        <v>205</v>
      </c>
      <c r="C44" s="2"/>
      <c r="D44" s="20" t="n">
        <f aca="false">ROUND(D35-D43,6)</f>
        <v>0</v>
      </c>
      <c r="E44" s="17" t="n">
        <f aca="false">ROUND(E35-E43,6)</f>
        <v>0</v>
      </c>
      <c r="F44" s="17" t="n">
        <f aca="false">ROUND(F35-F43,6)</f>
        <v>0</v>
      </c>
      <c r="G44" s="17" t="n">
        <f aca="false">ROUND(G35-G43,6)</f>
        <v>0</v>
      </c>
      <c r="H44" s="17" t="n">
        <f aca="false">ROUND(H35-H43,6)</f>
        <v>0</v>
      </c>
      <c r="I44" s="17" t="n">
        <f aca="false">ROUND(I35-I43,6)</f>
        <v>0</v>
      </c>
      <c r="J44" s="17" t="n">
        <f aca="false">ROUND(J35-J43,6)</f>
        <v>0</v>
      </c>
      <c r="K44" s="17" t="n">
        <f aca="false">ROUND(K35-K43,6)</f>
        <v>0</v>
      </c>
      <c r="L44" s="17" t="n">
        <f aca="false">ROUND(L35-L43,6)</f>
        <v>0</v>
      </c>
      <c r="M44" s="17" t="n">
        <f aca="false">ROUND(M35-M43,6)</f>
        <v>0</v>
      </c>
      <c r="N44" s="17" t="n">
        <f aca="false">ROUND(N35-N43,6)</f>
        <v>0</v>
      </c>
      <c r="O44" s="2"/>
      <c r="P44" s="20" t="n">
        <f aca="false">F44</f>
        <v>0</v>
      </c>
      <c r="Q44" s="20" t="n">
        <f aca="false">J44</f>
        <v>0</v>
      </c>
      <c r="R44" s="20" t="n">
        <f aca="false">N44</f>
        <v>0</v>
      </c>
      <c r="S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customFormat="false" ht="15" hidden="false" customHeight="false" outlineLevel="0" collapsed="false">
      <c r="A46" s="1" t="s">
        <v>206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customFormat="false" ht="15" hidden="false" customHeight="false" outlineLevel="0" collapsed="false">
      <c r="A47" s="4" t="s">
        <v>178</v>
      </c>
      <c r="B47" s="2"/>
      <c r="C47" s="2"/>
      <c r="D47" s="2"/>
      <c r="E47" s="17" t="n">
        <f aca="false">E22</f>
        <v>-10.273</v>
      </c>
      <c r="F47" s="17" t="n">
        <f aca="false">F22</f>
        <v>-11.11528</v>
      </c>
      <c r="G47" s="17" t="n">
        <f aca="false">G22</f>
        <v>13.8748345177871</v>
      </c>
      <c r="H47" s="17" t="n">
        <f aca="false">H22</f>
        <v>43.4625319575363</v>
      </c>
      <c r="I47" s="17" t="n">
        <f aca="false">I22</f>
        <v>6.38452949555135</v>
      </c>
      <c r="J47" s="17" t="n">
        <f aca="false">J22</f>
        <v>11.5490503153056</v>
      </c>
      <c r="K47" s="17" t="n">
        <f aca="false">K22</f>
        <v>14.9731202619081</v>
      </c>
      <c r="L47" s="17" t="n">
        <f aca="false">L22</f>
        <v>50.1272464512488</v>
      </c>
      <c r="M47" s="17" t="n">
        <f aca="false">M22</f>
        <v>6.00721256244942</v>
      </c>
      <c r="N47" s="17" t="n">
        <f aca="false">N22</f>
        <v>12.0954151141993</v>
      </c>
      <c r="O47" s="2"/>
      <c r="P47" s="2"/>
      <c r="Q47" s="20" t="n">
        <f aca="false">SUM(G47:J47)</f>
        <v>75.2709462861804</v>
      </c>
      <c r="R47" s="20" t="n">
        <f aca="false">SUM(K47:N47)</f>
        <v>83.2029943898056</v>
      </c>
      <c r="S47" s="20" t="n">
        <f aca="false">SUM(E47:F47)</f>
        <v>-21.38828</v>
      </c>
    </row>
    <row r="48" customFormat="false" ht="15" hidden="false" customHeight="false" outlineLevel="0" collapsed="false">
      <c r="A48" s="4" t="s">
        <v>169</v>
      </c>
      <c r="B48" s="2"/>
      <c r="C48" s="2"/>
      <c r="D48" s="2"/>
      <c r="E48" s="17" t="n">
        <f aca="false">E17</f>
        <v>7.854</v>
      </c>
      <c r="F48" s="17" t="n">
        <f aca="false">F17</f>
        <v>7.854</v>
      </c>
      <c r="G48" s="17" t="n">
        <f aca="false">G17</f>
        <v>8.6394</v>
      </c>
      <c r="H48" s="17" t="n">
        <f aca="false">H17</f>
        <v>8.6394</v>
      </c>
      <c r="I48" s="17" t="n">
        <f aca="false">I17</f>
        <v>8.6394</v>
      </c>
      <c r="J48" s="17" t="n">
        <f aca="false">J17</f>
        <v>8.6394</v>
      </c>
      <c r="K48" s="17" t="n">
        <f aca="false">K17</f>
        <v>9.50334</v>
      </c>
      <c r="L48" s="17" t="n">
        <f aca="false">L17</f>
        <v>9.50334</v>
      </c>
      <c r="M48" s="17" t="n">
        <f aca="false">M17</f>
        <v>9.50334</v>
      </c>
      <c r="N48" s="17" t="n">
        <f aca="false">N17</f>
        <v>9.50334</v>
      </c>
      <c r="O48" s="2"/>
      <c r="P48" s="2"/>
      <c r="Q48" s="20" t="n">
        <f aca="false">SUM(G48:J48)</f>
        <v>34.5576</v>
      </c>
      <c r="R48" s="20" t="n">
        <f aca="false">SUM(K48:N48)</f>
        <v>38.01336</v>
      </c>
      <c r="S48" s="20" t="n">
        <f aca="false">SUM(E48:F48)</f>
        <v>15.708</v>
      </c>
    </row>
    <row r="49" customFormat="false" ht="15" hidden="false" customHeight="false" outlineLevel="0" collapsed="false">
      <c r="A49" s="4" t="s">
        <v>173</v>
      </c>
      <c r="B49" s="2"/>
      <c r="C49" s="2"/>
      <c r="D49" s="2"/>
      <c r="E49" s="17" t="n">
        <f aca="false">E19</f>
        <v>18.174</v>
      </c>
      <c r="F49" s="17" t="n">
        <f aca="false">F19</f>
        <v>18.174</v>
      </c>
      <c r="G49" s="17" t="n">
        <f aca="false">G19</f>
        <v>19.0827</v>
      </c>
      <c r="H49" s="17" t="n">
        <f aca="false">H19</f>
        <v>19.0827</v>
      </c>
      <c r="I49" s="17" t="n">
        <f aca="false">I19</f>
        <v>19.0827</v>
      </c>
      <c r="J49" s="17" t="n">
        <f aca="false">J19</f>
        <v>19.0827</v>
      </c>
      <c r="K49" s="17" t="n">
        <f aca="false">K19</f>
        <v>20.036835</v>
      </c>
      <c r="L49" s="17" t="n">
        <f aca="false">L19</f>
        <v>20.036835</v>
      </c>
      <c r="M49" s="17" t="n">
        <f aca="false">M19</f>
        <v>20.036835</v>
      </c>
      <c r="N49" s="17" t="n">
        <f aca="false">N19</f>
        <v>20.036835</v>
      </c>
      <c r="O49" s="2"/>
      <c r="P49" s="2"/>
      <c r="Q49" s="20" t="n">
        <f aca="false">SUM(G49:J49)</f>
        <v>76.3308</v>
      </c>
      <c r="R49" s="20" t="n">
        <f aca="false">SUM(K49:N49)</f>
        <v>80.14734</v>
      </c>
      <c r="S49" s="20" t="n">
        <f aca="false">SUM(E49:F49)</f>
        <v>36.348</v>
      </c>
    </row>
    <row r="50" customFormat="false" ht="15" hidden="false" customHeight="false" outlineLevel="0" collapsed="false">
      <c r="A50" s="4" t="s">
        <v>207</v>
      </c>
      <c r="B50" s="2"/>
      <c r="C50" s="2"/>
      <c r="D50" s="2"/>
      <c r="E50" s="17" t="n">
        <f aca="false">E40-D40</f>
        <v>0.569999999999993</v>
      </c>
      <c r="F50" s="17" t="n">
        <f aca="false">F40-E40</f>
        <v>0.569999999999993</v>
      </c>
      <c r="G50" s="17" t="n">
        <f aca="false">G40-F40</f>
        <v>0.569999999999993</v>
      </c>
      <c r="H50" s="17" t="n">
        <f aca="false">H40-G40</f>
        <v>0.569999999999993</v>
      </c>
      <c r="I50" s="17" t="n">
        <f aca="false">I40-H40</f>
        <v>0.569999999999993</v>
      </c>
      <c r="J50" s="17" t="n">
        <f aca="false">J40-I40</f>
        <v>0.569999999999993</v>
      </c>
      <c r="K50" s="17" t="n">
        <f aca="false">K40-J40</f>
        <v>0.569999999999993</v>
      </c>
      <c r="L50" s="17" t="n">
        <f aca="false">L40-K40</f>
        <v>0.569999999999993</v>
      </c>
      <c r="M50" s="17" t="n">
        <f aca="false">M40-L40</f>
        <v>0.569999999999993</v>
      </c>
      <c r="N50" s="17" t="n">
        <f aca="false">N40-M40</f>
        <v>0.569999999999993</v>
      </c>
      <c r="O50" s="2"/>
      <c r="P50" s="2"/>
      <c r="Q50" s="20" t="n">
        <f aca="false">SUM(G50:J50)</f>
        <v>2.27999999999997</v>
      </c>
      <c r="R50" s="20" t="n">
        <f aca="false">SUM(K50:N50)</f>
        <v>2.27999999999997</v>
      </c>
      <c r="S50" s="20" t="n">
        <f aca="false">SUM(E50:F50)</f>
        <v>1.13999999999999</v>
      </c>
    </row>
    <row r="51" customFormat="false" ht="15" hidden="false" customHeight="false" outlineLevel="0" collapsed="false">
      <c r="A51" s="4" t="s">
        <v>208</v>
      </c>
      <c r="B51" s="2"/>
      <c r="C51" s="2"/>
      <c r="D51" s="2"/>
      <c r="E51" s="17" t="n">
        <f aca="false">-(E30-D30)</f>
        <v>5.69786630683728</v>
      </c>
      <c r="F51" s="17" t="n">
        <f aca="false">-(F30-E30)</f>
        <v>-4.26122955183047</v>
      </c>
      <c r="G51" s="17" t="n">
        <f aca="false">-(G30-F30)</f>
        <v>-60.1994344370799</v>
      </c>
      <c r="H51" s="17" t="n">
        <f aca="false">-(H30-G30)</f>
        <v>-1.8653276102205</v>
      </c>
      <c r="I51" s="17" t="n">
        <f aca="false">-(I30-H30)</f>
        <v>-3.73065522044146</v>
      </c>
      <c r="J51" s="17" t="n">
        <f aca="false">-(J30-I30)</f>
        <v>-3.73065522044129</v>
      </c>
      <c r="K51" s="17" t="n">
        <f aca="false">-(K30-J30)</f>
        <v>-58.2131440597665</v>
      </c>
      <c r="L51" s="17" t="n">
        <f aca="false">-(L30-K30)</f>
        <v>-1.88926598121844</v>
      </c>
      <c r="M51" s="17" t="n">
        <f aca="false">-(M30-L30)</f>
        <v>-3.77853196243694</v>
      </c>
      <c r="N51" s="17" t="n">
        <f aca="false">-(N30-M30)</f>
        <v>-3.77853196243689</v>
      </c>
      <c r="O51" s="2"/>
      <c r="P51" s="2"/>
      <c r="Q51" s="20" t="n">
        <f aca="false">SUM(G51:J51)</f>
        <v>-69.5260724881832</v>
      </c>
      <c r="R51" s="20" t="n">
        <f aca="false">SUM(K51:N51)</f>
        <v>-67.6594739658588</v>
      </c>
      <c r="S51" s="20" t="n">
        <f aca="false">SUM(E51:F51)</f>
        <v>1.43663675500682</v>
      </c>
    </row>
    <row r="52" customFormat="false" ht="15" hidden="false" customHeight="false" outlineLevel="0" collapsed="false">
      <c r="A52" s="4" t="s">
        <v>209</v>
      </c>
      <c r="B52" s="2"/>
      <c r="C52" s="2"/>
      <c r="D52" s="2"/>
      <c r="E52" s="17" t="n">
        <f aca="false">-(E32-D32)</f>
        <v>3.10607246526547</v>
      </c>
      <c r="F52" s="17" t="n">
        <f aca="false">-(F32-E32)</f>
        <v>-2.32292003117624</v>
      </c>
      <c r="G52" s="17" t="n">
        <f aca="false">-(G32-F32)</f>
        <v>-32.8164606995422</v>
      </c>
      <c r="H52" s="17" t="n">
        <f aca="false">-(H32-G32)</f>
        <v>-1.01684427411945</v>
      </c>
      <c r="I52" s="17" t="n">
        <f aca="false">-(I32-H32)</f>
        <v>-2.03368854823907</v>
      </c>
      <c r="J52" s="17" t="n">
        <f aca="false">-(J32-I32)</f>
        <v>-2.03368854823901</v>
      </c>
      <c r="K52" s="17" t="n">
        <f aca="false">-(K32-J32)</f>
        <v>-31.7336761067217</v>
      </c>
      <c r="L52" s="17" t="n">
        <f aca="false">-(L32-K32)</f>
        <v>-1.02989377563733</v>
      </c>
      <c r="M52" s="17" t="n">
        <f aca="false">-(M32-L32)</f>
        <v>-2.05978755127475</v>
      </c>
      <c r="N52" s="17" t="n">
        <f aca="false">-(N32-M32)</f>
        <v>-2.0597875512747</v>
      </c>
      <c r="O52" s="2"/>
      <c r="P52" s="2"/>
      <c r="Q52" s="20" t="n">
        <f aca="false">SUM(G52:J52)</f>
        <v>-37.9006820701398</v>
      </c>
      <c r="R52" s="20" t="n">
        <f aca="false">SUM(K52:N52)</f>
        <v>-36.8831449849085</v>
      </c>
      <c r="S52" s="20" t="n">
        <f aca="false">SUM(E52:F52)</f>
        <v>0.783152434089232</v>
      </c>
    </row>
    <row r="53" customFormat="false" ht="15" hidden="false" customHeight="false" outlineLevel="0" collapsed="false">
      <c r="A53" s="4" t="s">
        <v>210</v>
      </c>
      <c r="B53" s="2"/>
      <c r="C53" s="2"/>
      <c r="D53" s="2"/>
      <c r="E53" s="17" t="n">
        <f aca="false">E37-D37</f>
        <v>3.98992307692299</v>
      </c>
      <c r="F53" s="17" t="n">
        <f aca="false">F37-E37</f>
        <v>6.90864092307697</v>
      </c>
      <c r="G53" s="17" t="n">
        <f aca="false">G37-F37</f>
        <v>124.573088318929</v>
      </c>
      <c r="H53" s="17" t="n">
        <f aca="false">H37-G37</f>
        <v>-12.1368178161633</v>
      </c>
      <c r="I53" s="17" t="n">
        <f aca="false">I37-H37</f>
        <v>28.3947578376373</v>
      </c>
      <c r="J53" s="17" t="n">
        <f aca="false">J37-I37</f>
        <v>5.28029228299772</v>
      </c>
      <c r="K53" s="17" t="n">
        <f aca="false">K37-J37</f>
        <v>120.550249362471</v>
      </c>
      <c r="L53" s="17" t="n">
        <f aca="false">L37-K37</f>
        <v>-15.1216455628331</v>
      </c>
      <c r="M53" s="17" t="n">
        <f aca="false">M37-L37</f>
        <v>32.370124833542</v>
      </c>
      <c r="N53" s="17" t="n">
        <f aca="false">N37-M37</f>
        <v>4.89694232443878</v>
      </c>
      <c r="O53" s="2"/>
      <c r="P53" s="2"/>
      <c r="Q53" s="20" t="n">
        <f aca="false">SUM(G53:J53)</f>
        <v>146.111320623401</v>
      </c>
      <c r="R53" s="20" t="n">
        <f aca="false">SUM(K53:N53)</f>
        <v>142.695670957619</v>
      </c>
      <c r="S53" s="20" t="n">
        <f aca="false">SUM(E53:F53)</f>
        <v>10.898564</v>
      </c>
    </row>
    <row r="54" customFormat="false" ht="15" hidden="false" customHeight="false" outlineLevel="0" collapsed="false">
      <c r="A54" s="4" t="s">
        <v>211</v>
      </c>
      <c r="B54" s="2"/>
      <c r="C54" s="2"/>
      <c r="D54" s="2"/>
      <c r="E54" s="17" t="n">
        <f aca="false">E38-D38</f>
        <v>-0.619314519782012</v>
      </c>
      <c r="F54" s="17" t="n">
        <f aca="false">F38-E38</f>
        <v>0.463163084470065</v>
      </c>
      <c r="G54" s="17" t="n">
        <f aca="false">G38-F38</f>
        <v>6.54321842982006</v>
      </c>
      <c r="H54" s="17" t="n">
        <f aca="false">H38-G38</f>
        <v>0.202746854866291</v>
      </c>
      <c r="I54" s="17" t="n">
        <f aca="false">I38-H38</f>
        <v>0.405493709732617</v>
      </c>
      <c r="J54" s="17" t="n">
        <f aca="false">J38-I38</f>
        <v>0.405493709732596</v>
      </c>
      <c r="K54" s="17" t="n">
        <f aca="false">K38-J38</f>
        <v>6.32732384666754</v>
      </c>
      <c r="L54" s="17" t="n">
        <f aca="false">L38-K38</f>
        <v>0.205348772837077</v>
      </c>
      <c r="M54" s="17" t="n">
        <f aca="false">M38-L38</f>
        <v>0.410697545674175</v>
      </c>
      <c r="N54" s="17" t="n">
        <f aca="false">N38-M38</f>
        <v>0.410697545674161</v>
      </c>
      <c r="O54" s="2"/>
      <c r="P54" s="2"/>
      <c r="Q54" s="20" t="n">
        <f aca="false">SUM(G54:J54)</f>
        <v>7.55695270415156</v>
      </c>
      <c r="R54" s="20" t="n">
        <f aca="false">SUM(K54:N54)</f>
        <v>7.35406771085295</v>
      </c>
      <c r="S54" s="20" t="n">
        <f aca="false">SUM(E54:F54)</f>
        <v>-0.156151435311948</v>
      </c>
    </row>
    <row r="55" customFormat="false" ht="15" hidden="false" customHeight="false" outlineLevel="0" collapsed="false">
      <c r="A55" s="1" t="s">
        <v>212</v>
      </c>
      <c r="B55" s="4" t="s">
        <v>213</v>
      </c>
      <c r="C55" s="2"/>
      <c r="D55" s="2"/>
      <c r="E55" s="17" t="n">
        <f aca="false">SUM(E47:E54)</f>
        <v>28.4995473292437</v>
      </c>
      <c r="F55" s="17" t="n">
        <f aca="false">SUM(F47:F54)</f>
        <v>16.2703744245403</v>
      </c>
      <c r="G55" s="17" t="n">
        <f aca="false">SUM(G47:G54)</f>
        <v>80.2673461299139</v>
      </c>
      <c r="H55" s="17" t="n">
        <f aca="false">SUM(H47:H54)</f>
        <v>56.9383891118993</v>
      </c>
      <c r="I55" s="17" t="n">
        <f aca="false">SUM(I47:I54)</f>
        <v>57.7125372742407</v>
      </c>
      <c r="J55" s="17" t="n">
        <f aca="false">SUM(J47:J54)</f>
        <v>39.7625925393556</v>
      </c>
      <c r="K55" s="17" t="n">
        <f aca="false">SUM(K47:K54)</f>
        <v>82.0140483045584</v>
      </c>
      <c r="L55" s="17" t="n">
        <f aca="false">SUM(L47:L54)</f>
        <v>62.4019649043969</v>
      </c>
      <c r="M55" s="17" t="n">
        <f aca="false">SUM(M47:M54)</f>
        <v>63.0598904279539</v>
      </c>
      <c r="N55" s="17" t="n">
        <f aca="false">SUM(N47:N54)</f>
        <v>41.6749104706007</v>
      </c>
      <c r="O55" s="2"/>
      <c r="P55" s="2"/>
      <c r="Q55" s="20" t="n">
        <f aca="false">SUM(G55:J55)</f>
        <v>234.68086505541</v>
      </c>
      <c r="R55" s="20" t="n">
        <f aca="false">SUM(K55:N55)</f>
        <v>249.15081410751</v>
      </c>
      <c r="S55" s="20" t="n">
        <f aca="false">SUM(E55:F55)</f>
        <v>44.769921753784</v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customFormat="false" ht="15" hidden="false" customHeight="false" outlineLevel="0" collapsed="false">
      <c r="A57" s="4" t="s">
        <v>214</v>
      </c>
      <c r="B57" s="2"/>
      <c r="C57" s="2"/>
      <c r="D57" s="2"/>
      <c r="E57" s="17" t="n">
        <f aca="false">-Inputs!$B$37</f>
        <v>-9</v>
      </c>
      <c r="F57" s="17" t="n">
        <f aca="false">-Inputs!$B$37</f>
        <v>-9</v>
      </c>
      <c r="G57" s="17" t="n">
        <f aca="false">-Inputs!$B$37</f>
        <v>-9</v>
      </c>
      <c r="H57" s="17" t="n">
        <f aca="false">-Inputs!$B$37</f>
        <v>-9</v>
      </c>
      <c r="I57" s="17" t="n">
        <f aca="false">-Inputs!$B$37</f>
        <v>-9</v>
      </c>
      <c r="J57" s="17" t="n">
        <f aca="false">-Inputs!$B$37</f>
        <v>-9</v>
      </c>
      <c r="K57" s="17" t="n">
        <f aca="false">-Inputs!$B$37</f>
        <v>-9</v>
      </c>
      <c r="L57" s="17" t="n">
        <f aca="false">-Inputs!$B$37</f>
        <v>-9</v>
      </c>
      <c r="M57" s="17" t="n">
        <f aca="false">-Inputs!$B$37</f>
        <v>-9</v>
      </c>
      <c r="N57" s="17" t="n">
        <f aca="false">-Inputs!$B$37</f>
        <v>-9</v>
      </c>
      <c r="O57" s="2"/>
      <c r="P57" s="2"/>
      <c r="Q57" s="20" t="n">
        <f aca="false">SUM(G57:J57)</f>
        <v>-36</v>
      </c>
      <c r="R57" s="20" t="n">
        <f aca="false">SUM(K57:N57)</f>
        <v>-36</v>
      </c>
      <c r="S57" s="20" t="n">
        <f aca="false">SUM(E57:F57)</f>
        <v>-18</v>
      </c>
    </row>
    <row r="58" customFormat="false" ht="15" hidden="false" customHeight="false" outlineLevel="0" collapsed="false">
      <c r="A58" s="1" t="s">
        <v>215</v>
      </c>
      <c r="B58" s="2"/>
      <c r="C58" s="2"/>
      <c r="D58" s="2"/>
      <c r="E58" s="17" t="n">
        <f aca="false">E57</f>
        <v>-9</v>
      </c>
      <c r="F58" s="17" t="n">
        <f aca="false">F57</f>
        <v>-9</v>
      </c>
      <c r="G58" s="17" t="n">
        <f aca="false">G57</f>
        <v>-9</v>
      </c>
      <c r="H58" s="17" t="n">
        <f aca="false">H57</f>
        <v>-9</v>
      </c>
      <c r="I58" s="17" t="n">
        <f aca="false">I57</f>
        <v>-9</v>
      </c>
      <c r="J58" s="17" t="n">
        <f aca="false">J57</f>
        <v>-9</v>
      </c>
      <c r="K58" s="17" t="n">
        <f aca="false">K57</f>
        <v>-9</v>
      </c>
      <c r="L58" s="17" t="n">
        <f aca="false">L57</f>
        <v>-9</v>
      </c>
      <c r="M58" s="17" t="n">
        <f aca="false">M57</f>
        <v>-9</v>
      </c>
      <c r="N58" s="17" t="n">
        <f aca="false">N57</f>
        <v>-9</v>
      </c>
      <c r="O58" s="2"/>
      <c r="P58" s="2"/>
      <c r="Q58" s="20" t="n">
        <f aca="false">SUM(G58:J58)</f>
        <v>-36</v>
      </c>
      <c r="R58" s="20" t="n">
        <f aca="false">SUM(K58:N58)</f>
        <v>-36</v>
      </c>
      <c r="S58" s="20" t="n">
        <f aca="false">SUM(E58:F58)</f>
        <v>-18</v>
      </c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customFormat="false" ht="15" hidden="false" customHeight="false" outlineLevel="0" collapsed="false">
      <c r="A60" s="1" t="s">
        <v>216</v>
      </c>
      <c r="B60" s="2"/>
      <c r="C60" s="2"/>
      <c r="D60" s="2"/>
      <c r="E60" s="17" t="n">
        <f aca="false">0</f>
        <v>0</v>
      </c>
      <c r="F60" s="17" t="n">
        <f aca="false">0</f>
        <v>0</v>
      </c>
      <c r="G60" s="17" t="n">
        <f aca="false">0</f>
        <v>0</v>
      </c>
      <c r="H60" s="17" t="n">
        <f aca="false">0</f>
        <v>0</v>
      </c>
      <c r="I60" s="17" t="n">
        <f aca="false">0</f>
        <v>0</v>
      </c>
      <c r="J60" s="17" t="n">
        <f aca="false">0</f>
        <v>0</v>
      </c>
      <c r="K60" s="17" t="n">
        <f aca="false">0</f>
        <v>0</v>
      </c>
      <c r="L60" s="17" t="n">
        <f aca="false">0</f>
        <v>0</v>
      </c>
      <c r="M60" s="17" t="n">
        <f aca="false">0</f>
        <v>0</v>
      </c>
      <c r="N60" s="17" t="n">
        <f aca="false">0</f>
        <v>0</v>
      </c>
      <c r="O60" s="2"/>
      <c r="P60" s="2"/>
      <c r="Q60" s="20" t="n">
        <f aca="false">SUM(G60:J60)</f>
        <v>0</v>
      </c>
      <c r="R60" s="20" t="n">
        <f aca="false">SUM(K60:N60)</f>
        <v>0</v>
      </c>
      <c r="S60" s="20" t="n">
        <f aca="false">SUM(E60:F60)</f>
        <v>0</v>
      </c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customFormat="false" ht="15" hidden="false" customHeight="false" outlineLevel="0" collapsed="false">
      <c r="A63" s="1" t="s">
        <v>217</v>
      </c>
      <c r="B63" s="2"/>
      <c r="C63" s="2"/>
      <c r="D63" s="2"/>
      <c r="E63" s="17" t="n">
        <f aca="false">E55+E58+E60</f>
        <v>19.4995473292437</v>
      </c>
      <c r="F63" s="17" t="n">
        <f aca="false">F55+F58+F60</f>
        <v>7.27037442454034</v>
      </c>
      <c r="G63" s="17" t="n">
        <f aca="false">G55+G58+G60</f>
        <v>71.2673461299139</v>
      </c>
      <c r="H63" s="17" t="n">
        <f aca="false">H55+H58+H60</f>
        <v>47.9383891118993</v>
      </c>
      <c r="I63" s="17" t="n">
        <f aca="false">I55+I58+I60</f>
        <v>48.7125372742407</v>
      </c>
      <c r="J63" s="17" t="n">
        <f aca="false">J55+J58+J60</f>
        <v>30.7625925393556</v>
      </c>
      <c r="K63" s="17" t="n">
        <f aca="false">K55+K58+K60</f>
        <v>73.0140483045584</v>
      </c>
      <c r="L63" s="17" t="n">
        <f aca="false">L55+L58+L60</f>
        <v>53.4019649043969</v>
      </c>
      <c r="M63" s="17" t="n">
        <f aca="false">M55+M58+M60</f>
        <v>54.0598904279539</v>
      </c>
      <c r="N63" s="17" t="n">
        <f aca="false">N55+N58+N60</f>
        <v>32.6749104706007</v>
      </c>
      <c r="O63" s="2"/>
      <c r="P63" s="2"/>
      <c r="Q63" s="20" t="n">
        <f aca="false">SUM(G63:J63)</f>
        <v>198.68086505541</v>
      </c>
      <c r="R63" s="20" t="n">
        <f aca="false">SUM(K63:N63)</f>
        <v>213.15081410751</v>
      </c>
      <c r="S63" s="20" t="n">
        <f aca="false">SUM(E63:F63)</f>
        <v>26.769921753784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218</v>
      </c>
      <c r="B1" s="2"/>
      <c r="C1" s="2"/>
      <c r="D1" s="2"/>
      <c r="E1" s="2"/>
    </row>
    <row r="2" customFormat="false" ht="15" hidden="false" customHeight="false" outlineLevel="0" collapsed="false">
      <c r="A2" s="4" t="s">
        <v>219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130</v>
      </c>
      <c r="B4" s="3" t="s">
        <v>220</v>
      </c>
      <c r="C4" s="3" t="s">
        <v>221</v>
      </c>
      <c r="D4" s="3" t="s">
        <v>222</v>
      </c>
      <c r="E4" s="3" t="s">
        <v>131</v>
      </c>
    </row>
    <row r="5" customFormat="false" ht="15" hidden="false" customHeight="false" outlineLevel="0" collapsed="false">
      <c r="A5" s="4" t="s">
        <v>223</v>
      </c>
      <c r="B5" s="17" t="n">
        <f aca="false">Model!P8*Inputs!$B$44</f>
        <v>4063.8</v>
      </c>
      <c r="C5" s="17" t="n">
        <f aca="false">Model!Q8*Inputs!$B$44</f>
        <v>5050.87527872316</v>
      </c>
      <c r="D5" s="17" t="n">
        <f aca="false">Model!R8*Inputs!$B$44</f>
        <v>5999.61620027313</v>
      </c>
      <c r="E5" s="4" t="s">
        <v>224</v>
      </c>
    </row>
    <row r="6" customFormat="false" ht="15" hidden="false" customHeight="false" outlineLevel="0" collapsed="false">
      <c r="A6" s="4" t="s">
        <v>225</v>
      </c>
      <c r="B6" s="17" t="n">
        <f aca="false">Model!P11*Inputs!$B$44</f>
        <v>3571.4532984</v>
      </c>
      <c r="C6" s="17" t="n">
        <f aca="false">Model!Q11*Inputs!$B$44</f>
        <v>4435.93839895434</v>
      </c>
      <c r="D6" s="17" t="n">
        <f aca="false">Model!R11*Inputs!$B$44</f>
        <v>5269.13312800574</v>
      </c>
      <c r="E6" s="4"/>
    </row>
    <row r="7" customFormat="false" ht="15" hidden="false" customHeight="false" outlineLevel="0" collapsed="false">
      <c r="A7" s="4" t="s">
        <v>226</v>
      </c>
      <c r="B7" s="17" t="n">
        <f aca="false">0.02*MIN(150,B5)+0.01*MAX(0,B5-150)</f>
        <v>42.138</v>
      </c>
      <c r="C7" s="17" t="n">
        <f aca="false">0.02*MIN(150,C5)+0.01*MAX(0,C5-150)</f>
        <v>52.0087527872316</v>
      </c>
      <c r="D7" s="17" t="n">
        <f aca="false">0.02*MIN(150,D5)+0.01*MAX(0,D5-150)</f>
        <v>61.4961620027313</v>
      </c>
      <c r="E7" s="4" t="s">
        <v>227</v>
      </c>
    </row>
    <row r="8" customFormat="false" ht="15" hidden="false" customHeight="false" outlineLevel="0" collapsed="false">
      <c r="A8" s="4" t="s">
        <v>228</v>
      </c>
      <c r="B8" s="17" t="n">
        <f aca="false">0.08*MIN(150,B6*(1-Inputs!$B$45))+0.04*MAX(0,B6*(1-Inputs!$B$45)-150)</f>
        <v>148.858131936</v>
      </c>
      <c r="C8" s="17" t="n">
        <f aca="false">0.08*MIN(150,C6*(1-Inputs!$B$45))+0.04*MAX(0,C6*(1-Inputs!$B$45)-150)</f>
        <v>183.437535958174</v>
      </c>
      <c r="D8" s="17" t="n">
        <f aca="false">0.08*MIN(150,D6*(1-Inputs!$B$45))+0.04*MAX(0,D6*(1-Inputs!$B$45)-150)</f>
        <v>216.76532512023</v>
      </c>
      <c r="E8" s="4" t="s">
        <v>229</v>
      </c>
    </row>
    <row r="9" customFormat="false" ht="15" hidden="false" customHeight="false" outlineLevel="0" collapsed="false">
      <c r="A9" s="4" t="s">
        <v>230</v>
      </c>
      <c r="B9" s="17" t="n">
        <f aca="false">0.08*MIN(150,B6*(1-Inputs!$B$46))+0.04*MAX(0,B6*(1-Inputs!$B$46)-150)</f>
        <v>77.429065968</v>
      </c>
      <c r="C9" s="17" t="n">
        <f aca="false">0.08*MIN(150,C6*(1-Inputs!$B$46))+0.04*MAX(0,C6*(1-Inputs!$B$46)-150)</f>
        <v>94.7187679790868</v>
      </c>
      <c r="D9" s="17" t="n">
        <f aca="false">0.08*MIN(150,D6*(1-Inputs!$B$46))+0.04*MAX(0,D6*(1-Inputs!$B$46)-150)</f>
        <v>111.382662560115</v>
      </c>
      <c r="E9" s="4" t="s">
        <v>231</v>
      </c>
    </row>
    <row r="10" customFormat="false" ht="15" hidden="false" customHeight="false" outlineLevel="0" collapsed="false">
      <c r="A10" s="4" t="s">
        <v>232</v>
      </c>
      <c r="B10" s="17" t="n">
        <f aca="false">1.5*MAX(1,B7,B9)</f>
        <v>116.143598952</v>
      </c>
      <c r="C10" s="17" t="n">
        <f aca="false">1.5*MAX(1,C7,C9)</f>
        <v>142.07815196863</v>
      </c>
      <c r="D10" s="17" t="n">
        <f aca="false">1.5*MAX(1,D7,D9)</f>
        <v>167.073993840172</v>
      </c>
      <c r="E10" s="4" t="s">
        <v>233</v>
      </c>
    </row>
    <row r="11" customFormat="false" ht="15" hidden="false" customHeight="false" outlineLevel="0" collapsed="false">
      <c r="A11" s="4" t="s">
        <v>234</v>
      </c>
      <c r="B11" s="17" t="n">
        <f aca="false">1.5*MAX(1,B7,B8)</f>
        <v>223.287197904</v>
      </c>
      <c r="C11" s="17" t="n">
        <f aca="false">1.5*MAX(1,C7,C8)</f>
        <v>275.15630393726</v>
      </c>
      <c r="D11" s="17" t="n">
        <f aca="false">1.5*MAX(1,D7,D8)</f>
        <v>325.147987680344</v>
      </c>
      <c r="E11" s="4" t="s">
        <v>235</v>
      </c>
    </row>
    <row r="12" customFormat="false" ht="15" hidden="false" customHeight="false" outlineLevel="0" collapsed="false">
      <c r="A12" s="4" t="s">
        <v>236</v>
      </c>
      <c r="B12" s="17" t="n">
        <f aca="false">268.515+Model!P22</f>
        <v>295.10272</v>
      </c>
      <c r="C12" s="17" t="n">
        <f aca="false">B12+Model!Q22</f>
        <v>370.37366628618</v>
      </c>
      <c r="D12" s="17" t="n">
        <f aca="false">C12+Model!R22</f>
        <v>453.576660675986</v>
      </c>
      <c r="E12" s="4" t="s">
        <v>237</v>
      </c>
    </row>
    <row r="13" customFormat="false" ht="15" hidden="false" customHeight="false" outlineLevel="0" collapsed="false">
      <c r="A13" s="4" t="s">
        <v>238</v>
      </c>
      <c r="B13" s="17" t="n">
        <f aca="false">B12-B10</f>
        <v>178.959121048</v>
      </c>
      <c r="C13" s="17" t="n">
        <f aca="false">C12-C10</f>
        <v>228.29551431755</v>
      </c>
      <c r="D13" s="17" t="n">
        <f aca="false">D12-D10</f>
        <v>286.502666835814</v>
      </c>
      <c r="E13" s="4"/>
    </row>
    <row r="14" customFormat="false" ht="15" hidden="false" customHeight="false" outlineLevel="0" collapsed="false">
      <c r="A14" s="4" t="s">
        <v>239</v>
      </c>
      <c r="B14" s="17" t="n">
        <f aca="false">B12-B11</f>
        <v>71.815522096</v>
      </c>
      <c r="C14" s="17" t="n">
        <f aca="false">C12-C11</f>
        <v>95.21736234892</v>
      </c>
      <c r="D14" s="17" t="n">
        <f aca="false">D12-D11</f>
        <v>128.428672995642</v>
      </c>
      <c r="E14" s="4"/>
    </row>
    <row r="15" customFormat="false" ht="15" hidden="false" customHeight="false" outlineLevel="0" collapsed="false">
      <c r="A15" s="4" t="s">
        <v>240</v>
      </c>
      <c r="B15" s="17" t="n">
        <f aca="false">116.09/3948.719*Model!P8</f>
        <v>153.170914415536</v>
      </c>
      <c r="C15" s="17" t="n">
        <f aca="false">116.09/3948.719*Model!Q8</f>
        <v>190.375310064681</v>
      </c>
      <c r="D15" s="17" t="n">
        <f aca="false">116.09/3948.719*Model!R8</f>
        <v>226.134824434789</v>
      </c>
      <c r="E15" s="4" t="s">
        <v>241</v>
      </c>
    </row>
    <row r="16" customFormat="false" ht="15" hidden="false" customHeight="false" outlineLevel="0" collapsed="false">
      <c r="A16" s="4" t="s">
        <v>242</v>
      </c>
      <c r="B16" s="21" t="n">
        <f aca="false">B12/B15</f>
        <v>1.92662374006216</v>
      </c>
      <c r="C16" s="21" t="n">
        <f aca="false">C12/C15</f>
        <v>1.94549212374412</v>
      </c>
      <c r="D16" s="21" t="n">
        <f aca="false">D12/D15</f>
        <v>2.00577979004195</v>
      </c>
      <c r="E16" s="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13" min="2" style="0" width="13"/>
  </cols>
  <sheetData>
    <row r="1" customFormat="false" ht="15" hidden="false" customHeight="false" outlineLevel="0" collapsed="false">
      <c r="A1" s="1" t="s">
        <v>244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245</v>
      </c>
      <c r="B3" s="3" t="s">
        <v>246</v>
      </c>
      <c r="C3" s="3" t="s">
        <v>247</v>
      </c>
      <c r="D3" s="3" t="s">
        <v>248</v>
      </c>
      <c r="E3" s="3" t="s">
        <v>249</v>
      </c>
      <c r="F3" s="3" t="s">
        <v>250</v>
      </c>
      <c r="G3" s="3" t="s">
        <v>251</v>
      </c>
      <c r="H3" s="3" t="s">
        <v>252</v>
      </c>
      <c r="I3" s="3" t="s">
        <v>253</v>
      </c>
      <c r="J3" s="3" t="s">
        <v>254</v>
      </c>
      <c r="K3" s="3" t="s">
        <v>255</v>
      </c>
      <c r="L3" s="3" t="s">
        <v>256</v>
      </c>
      <c r="M3" s="3" t="s">
        <v>257</v>
      </c>
    </row>
    <row r="4" customFormat="false" ht="15" hidden="false" customHeight="false" outlineLevel="0" collapsed="false">
      <c r="A4" s="22" t="s">
        <v>258</v>
      </c>
      <c r="B4" s="23" t="n">
        <v>401.43</v>
      </c>
      <c r="C4" s="23" t="n">
        <v>383.55</v>
      </c>
      <c r="D4" s="23" t="n">
        <v>897.594847</v>
      </c>
      <c r="E4" s="23" t="n">
        <v>409287.852032</v>
      </c>
      <c r="F4" s="23" t="n">
        <v>28903.000064</v>
      </c>
      <c r="G4" s="23" t="n">
        <v>20.51338</v>
      </c>
      <c r="H4" s="23" t="n">
        <v>23.22918</v>
      </c>
      <c r="I4" s="24" t="n">
        <f aca="false">B4/H4</f>
        <v>17.28128156052</v>
      </c>
      <c r="J4" s="25" t="n">
        <f aca="false">F4+(H4-G4)*D4/(1-Inputs!$B$32)</f>
        <v>32110.4843870034</v>
      </c>
      <c r="K4" s="24" t="n">
        <f aca="false">E4/J4</f>
        <v>12.7462372444826</v>
      </c>
      <c r="L4" s="24" t="n">
        <f aca="false">C4/H4</f>
        <v>16.5115600292391</v>
      </c>
      <c r="M4" s="24" t="n">
        <f aca="false">(E4+(C4-B4)*D4)/J4</f>
        <v>12.2464317706401</v>
      </c>
    </row>
    <row r="5" customFormat="false" ht="15" hidden="false" customHeight="false" outlineLevel="0" collapsed="false">
      <c r="A5" s="22" t="s">
        <v>259</v>
      </c>
      <c r="B5" s="23" t="n">
        <v>413.16</v>
      </c>
      <c r="C5" s="23" t="n">
        <v>407.02</v>
      </c>
      <c r="D5" s="23" t="n">
        <v>120.080308</v>
      </c>
      <c r="E5" s="23" t="n">
        <v>40549.380096</v>
      </c>
      <c r="F5" s="23" t="n">
        <v>3596</v>
      </c>
      <c r="G5" s="23" t="n">
        <v>9.15913</v>
      </c>
      <c r="H5" s="23" t="n">
        <v>17.08832</v>
      </c>
      <c r="I5" s="24" t="n">
        <f aca="false">B5/H5</f>
        <v>24.1779180165165</v>
      </c>
      <c r="J5" s="25" t="n">
        <f aca="false">F5+(H5-G5)*D5/(1-Inputs!$B$32)</f>
        <v>4848.81523340858</v>
      </c>
      <c r="K5" s="24" t="n">
        <f aca="false">E5/J5</f>
        <v>8.36273979190066</v>
      </c>
      <c r="L5" s="24" t="n">
        <f aca="false">C5/H5</f>
        <v>23.8186082657628</v>
      </c>
      <c r="M5" s="24" t="n">
        <f aca="false">(E5+(C5-B5)*D5)/J5</f>
        <v>8.21068345326354</v>
      </c>
    </row>
    <row r="6" customFormat="false" ht="15" hidden="false" customHeight="false" outlineLevel="0" collapsed="false">
      <c r="A6" s="22" t="s">
        <v>260</v>
      </c>
      <c r="B6" s="23" t="n">
        <v>428.26</v>
      </c>
      <c r="C6" s="23" t="n">
        <v>424.24</v>
      </c>
      <c r="D6" s="23" t="n">
        <v>216.86929</v>
      </c>
      <c r="E6" s="23" t="n">
        <v>86545.440768</v>
      </c>
      <c r="F6" s="23" t="n">
        <v>8323.999744</v>
      </c>
      <c r="G6" s="23" t="n">
        <v>27.24418</v>
      </c>
      <c r="H6" s="23" t="n">
        <v>29.60006</v>
      </c>
      <c r="I6" s="24" t="n">
        <f aca="false">B6/H6</f>
        <v>14.4682139157826</v>
      </c>
      <c r="J6" s="25" t="n">
        <f aca="false">F6+(H6-G6)*D6/(1-Inputs!$B$32)</f>
        <v>8996.26030048053</v>
      </c>
      <c r="K6" s="24" t="n">
        <f aca="false">E6/J6</f>
        <v>9.62015747403143</v>
      </c>
      <c r="L6" s="24" t="n">
        <f aca="false">C6/H6</f>
        <v>14.3324033802634</v>
      </c>
      <c r="M6" s="24" t="n">
        <f aca="false">(E6+(C6-B6)*D6)/J6</f>
        <v>9.52324892351368</v>
      </c>
    </row>
    <row r="7" customFormat="false" ht="15" hidden="false" customHeight="false" outlineLevel="0" collapsed="false">
      <c r="A7" s="22" t="s">
        <v>261</v>
      </c>
      <c r="B7" s="23" t="n">
        <v>92.36</v>
      </c>
      <c r="C7" s="23" t="n">
        <v>95.55</v>
      </c>
      <c r="D7" s="23" t="n">
        <v>1278.970369</v>
      </c>
      <c r="E7" s="23" t="n">
        <v>180670.70976</v>
      </c>
      <c r="F7" s="23" t="n">
        <v>16679.999488</v>
      </c>
      <c r="G7" s="23" t="n">
        <v>8.04287</v>
      </c>
      <c r="H7" s="23" t="n">
        <v>8.53519</v>
      </c>
      <c r="I7" s="24" t="n">
        <f aca="false">B7/H7</f>
        <v>10.8210830690354</v>
      </c>
      <c r="J7" s="25" t="n">
        <f aca="false">F7+(H7-G7)*D7/(1-Inputs!$B$32)</f>
        <v>17508.5030301922</v>
      </c>
      <c r="K7" s="24" t="n">
        <f aca="false">E7/J7</f>
        <v>10.3190266722658</v>
      </c>
      <c r="L7" s="24" t="n">
        <f aca="false">C7/H7</f>
        <v>11.1948298749061</v>
      </c>
      <c r="M7" s="24" t="n">
        <f aca="false">(E7+(C7-B7)*D7)/J7</f>
        <v>10.5520514757041</v>
      </c>
    </row>
    <row r="8" customFormat="false" ht="15" hidden="false" customHeight="false" outlineLevel="0" collapsed="false">
      <c r="A8" s="22" t="s">
        <v>262</v>
      </c>
      <c r="B8" s="23" t="n">
        <v>69.16</v>
      </c>
      <c r="C8" s="23" t="n">
        <v>69.41</v>
      </c>
      <c r="D8" s="23" t="n">
        <v>493.995</v>
      </c>
      <c r="E8" s="23" t="n">
        <v>23307.69408</v>
      </c>
      <c r="F8" s="23" t="n">
        <v>4606.000128</v>
      </c>
      <c r="G8" s="23" t="n">
        <v>4.88462</v>
      </c>
      <c r="H8" s="23" t="n">
        <v>5.34776</v>
      </c>
      <c r="I8" s="24" t="n">
        <f aca="false">B8/H8</f>
        <v>12.9325175400542</v>
      </c>
      <c r="J8" s="25" t="n">
        <f aca="false">F8+(H8-G8)*D8/(1-Inputs!$B$32)</f>
        <v>4907.03808102632</v>
      </c>
      <c r="K8" s="24" t="n">
        <f aca="false">E8/J8</f>
        <v>4.74984984732891</v>
      </c>
      <c r="L8" s="24" t="n">
        <f aca="false">C8/H8</f>
        <v>12.9792660852394</v>
      </c>
      <c r="M8" s="24" t="n">
        <f aca="false">(E8+(C8-B8)*D8)/J8</f>
        <v>4.775017524441</v>
      </c>
    </row>
    <row r="9" customFormat="false" ht="15" hidden="false" customHeight="false" outlineLevel="0" collapsed="false">
      <c r="A9" s="22" t="s">
        <v>263</v>
      </c>
      <c r="B9" s="23" t="n">
        <v>207.36</v>
      </c>
      <c r="C9" s="23" t="n">
        <v>214.07</v>
      </c>
      <c r="D9" s="23" t="n">
        <v>52.2</v>
      </c>
      <c r="E9" s="23" t="n">
        <v>5862.192128</v>
      </c>
      <c r="F9" s="23" t="n">
        <v>390</v>
      </c>
      <c r="G9" s="23" t="n">
        <v>5.24983</v>
      </c>
      <c r="H9" s="23" t="n">
        <v>8.55097</v>
      </c>
      <c r="I9" s="24" t="n">
        <f aca="false">B9/H9</f>
        <v>24.2498804229228</v>
      </c>
      <c r="J9" s="25" t="n">
        <f aca="false">F9+(H9-G9)*D9/(1-Inputs!$B$32)</f>
        <v>616.736194736842</v>
      </c>
      <c r="K9" s="24" t="n">
        <f aca="false">E9/J9</f>
        <v>9.50518581206567</v>
      </c>
      <c r="L9" s="24" t="n">
        <f aca="false">C9/H9</f>
        <v>25.0345867194014</v>
      </c>
      <c r="M9" s="24" t="n">
        <f aca="false">(E9+(C9-B9)*D9)/J9</f>
        <v>10.0731142115809</v>
      </c>
    </row>
    <row r="10" customFormat="false" ht="15" hidden="false" customHeight="false" outlineLevel="0" collapsed="false">
      <c r="A10" s="22" t="s">
        <v>264</v>
      </c>
      <c r="B10" s="23" t="n">
        <v>302.3</v>
      </c>
      <c r="C10" s="23" t="n">
        <v>290.05</v>
      </c>
      <c r="D10" s="23" t="n">
        <v>264.240486</v>
      </c>
      <c r="E10" s="23" t="n">
        <v>104790.900736</v>
      </c>
      <c r="F10" s="23" t="n">
        <v>12757.999616</v>
      </c>
      <c r="G10" s="23" t="n">
        <v>30.51015</v>
      </c>
      <c r="H10" s="23" t="n">
        <v>33.48462</v>
      </c>
      <c r="I10" s="24" t="n">
        <f aca="false">B10/H10</f>
        <v>9.02802540390185</v>
      </c>
      <c r="J10" s="25" t="n">
        <f aca="false">F10+(H10-G10)*D10/(1-Inputs!$B$32)</f>
        <v>13792.1777717795</v>
      </c>
      <c r="K10" s="24" t="n">
        <f aca="false">E10/J10</f>
        <v>7.59785020683355</v>
      </c>
      <c r="L10" s="24" t="n">
        <f aca="false">C10/H10</f>
        <v>8.66218580351218</v>
      </c>
      <c r="M10" s="24" t="n">
        <f aca="false">(E10+(C10-B10)*D10)/J10</f>
        <v>7.36315587450533</v>
      </c>
    </row>
    <row r="11" customFormat="false" ht="15" hidden="false" customHeight="false" outlineLevel="0" collapsed="false">
      <c r="A11" s="1" t="s">
        <v>265</v>
      </c>
      <c r="B11" s="2"/>
      <c r="C11" s="2"/>
      <c r="D11" s="2"/>
      <c r="E11" s="2"/>
      <c r="F11" s="2"/>
      <c r="G11" s="2"/>
      <c r="H11" s="2"/>
      <c r="I11" s="26" t="n">
        <f aca="false">MEDIAN(I4:I10)</f>
        <v>14.4682139157826</v>
      </c>
      <c r="J11" s="2"/>
      <c r="K11" s="26" t="n">
        <f aca="false">MEDIAN(K4:K10)</f>
        <v>9.50518581206567</v>
      </c>
      <c r="L11" s="26" t="n">
        <f aca="false">MEDIAN(L4:L10)</f>
        <v>14.3324033802634</v>
      </c>
      <c r="M11" s="26" t="n">
        <f aca="false">MEDIAN(M4:M10)</f>
        <v>9.52324892351368</v>
      </c>
    </row>
    <row r="12" customFormat="false" ht="15" hidden="false" customHeight="false" outlineLevel="0" collapsed="false">
      <c r="A12" s="1" t="s">
        <v>266</v>
      </c>
      <c r="B12" s="2"/>
      <c r="C12" s="2"/>
      <c r="D12" s="2"/>
      <c r="E12" s="2"/>
      <c r="F12" s="2"/>
      <c r="G12" s="2"/>
      <c r="H12" s="2"/>
      <c r="I12" s="24" t="n">
        <f aca="false">MEDIAN(I4,I6,I7,I8,I10)</f>
        <v>12.9325175400542</v>
      </c>
      <c r="J12" s="2"/>
      <c r="K12" s="24" t="n">
        <f aca="false">MEDIAN(K4,K6,K7,K8,K10)</f>
        <v>9.62015747403143</v>
      </c>
      <c r="L12" s="24" t="n">
        <f aca="false">MEDIAN(L4,L6,L7,L8,L10)</f>
        <v>12.9792660852394</v>
      </c>
      <c r="M12" s="24" t="n">
        <f aca="false">MEDIAN(M4,M6,M7,M8,M10)</f>
        <v>9.52324892351368</v>
      </c>
    </row>
    <row r="13" customFormat="false" ht="15" hidden="false" customHeight="false" outlineLevel="0" collapsed="false">
      <c r="A13" s="4" t="s">
        <v>267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1" t="s">
        <v>268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5" hidden="false" customHeight="false" outlineLevel="0" collapsed="false">
      <c r="A16" s="4" t="s">
        <v>269</v>
      </c>
      <c r="B16" s="17" t="n">
        <f aca="false">Model!Q8</f>
        <v>6475.48112656815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" hidden="false" customHeight="false" outlineLevel="0" collapsed="false">
      <c r="A17" s="4" t="s">
        <v>128</v>
      </c>
      <c r="B17" s="10" t="n">
        <f aca="false">Model!Q10</f>
        <v>0.87825142260803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5" hidden="false" customHeight="false" outlineLevel="0" collapsed="false">
      <c r="A18" s="4" t="s">
        <v>270</v>
      </c>
      <c r="B18" s="16" t="n">
        <f aca="false">Inputs!$B$23</f>
        <v>0.09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5" hidden="false" customHeight="false" outlineLevel="0" collapsed="false">
      <c r="A19" s="4" t="s">
        <v>271</v>
      </c>
      <c r="B19" s="17" t="n">
        <f aca="false">Model!Q16</f>
        <v>205.587313697093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4" t="s">
        <v>272</v>
      </c>
      <c r="B20" s="17" t="n">
        <f aca="false">Model!Q17+Model!Q18</f>
        <v>51.6576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" hidden="false" customHeight="false" outlineLevel="0" collapsed="false">
      <c r="A21" s="4" t="s">
        <v>273</v>
      </c>
      <c r="B21" s="17" t="n">
        <f aca="false">Model!Q23</f>
        <v>153.929713697093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" hidden="false" customHeight="false" outlineLevel="0" collapsed="false">
      <c r="A22" s="4" t="s">
        <v>274</v>
      </c>
      <c r="B22" s="17" t="n">
        <f aca="false">Model!Q24</f>
        <v>220.895853205312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4" t="s">
        <v>275</v>
      </c>
      <c r="B23" s="27" t="n">
        <f aca="false">I11</f>
        <v>14.4682139157826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4" t="s">
        <v>276</v>
      </c>
      <c r="B24" s="27" t="n">
        <f aca="false">K11</f>
        <v>9.50518581206567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" hidden="false" customHeight="false" outlineLevel="0" collapsed="false">
      <c r="A25" s="4" t="s">
        <v>277</v>
      </c>
      <c r="B25" s="19" t="n">
        <f aca="false">Inputs!$B$42*0.21*Inputs!$B$43/B22</f>
        <v>0.463387901650019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" hidden="false" customHeight="false" outlineLevel="0" collapsed="false">
      <c r="A26" s="4" t="s">
        <v>278</v>
      </c>
      <c r="B26" s="17" t="n">
        <f aca="false">Inputs!$B$41-Inputs!$B$39</f>
        <v>194.6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4" t="s">
        <v>279</v>
      </c>
      <c r="B27" s="19" t="n">
        <f aca="false">B23*B21*(1-Inputs!$B$32)/B22+B25</f>
        <v>8.12576306633003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5" hidden="false" customHeight="false" outlineLevel="0" collapsed="false">
      <c r="A28" s="4" t="s">
        <v>280</v>
      </c>
      <c r="B28" s="19" t="n">
        <f aca="false">(B24*B19-B26)/B22</f>
        <v>7.96549863549902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4" t="s">
        <v>281</v>
      </c>
      <c r="B29" s="19" t="n">
        <f aca="false">-Inputs!$B$27</f>
        <v>-0.937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1" t="s">
        <v>282</v>
      </c>
      <c r="B30" s="18" t="n">
        <f aca="false">AVERAGE(B27,B28)+B29</f>
        <v>7.10863085091453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5" hidden="false" customHeight="false" outlineLevel="0" collapsed="false">
      <c r="A31" s="4" t="s">
        <v>283</v>
      </c>
      <c r="B31" s="16" t="n">
        <f aca="false">B30/Inputs!$B$4-1</f>
        <v>-0.14146970399583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5" hidden="false" customHeight="false" outlineLevel="0" collapsed="false">
      <c r="A33" s="1" t="s">
        <v>284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5" hidden="false" customHeight="false" outlineLevel="0" collapsed="false">
      <c r="A34" s="4" t="s">
        <v>285</v>
      </c>
      <c r="B34" s="28" t="n">
        <f aca="false">1-B18-((2*(Inputs!$B$4+Inputs!$B$27)-B25+I11*B20*(1-Inputs!$B$32)/B22+B26/B22)/(I11*(1-Inputs!$B$32)/B22+K11/B22))/B16</f>
        <v>0.874353226788067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" hidden="false" customHeight="false" outlineLevel="0" collapsed="false">
      <c r="A35" s="4" t="s">
        <v>286</v>
      </c>
      <c r="B35" s="28" t="n">
        <f aca="false">1-B18-((2*(Inputs!$B$5+0.31*Inputs!$B$27)-B25+L11*B20*(1-Inputs!$B$32)/B22+B26/B22)/(L11*(1-Inputs!$B$32)/B22+M11/B22))/B16</f>
        <v>0.860832755254102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5" hidden="false" customHeight="false" outlineLevel="0" collapsed="false">
      <c r="A36" s="1" t="s">
        <v>287</v>
      </c>
      <c r="B36" s="28" t="n">
        <f aca="false">B34-B35</f>
        <v>0.0135204715339643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false" outlineLevel="0" collapsed="false">
      <c r="A39" s="1" t="s">
        <v>288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" hidden="false" customHeight="false" outlineLevel="0" collapsed="false">
      <c r="A40" s="2"/>
      <c r="B40" s="8" t="n">
        <v>0.87</v>
      </c>
      <c r="C40" s="8" t="n">
        <v>0.875</v>
      </c>
      <c r="D40" s="8" t="n">
        <v>0.879</v>
      </c>
      <c r="E40" s="8" t="n">
        <v>0.885</v>
      </c>
      <c r="F40" s="8" t="n">
        <v>0.89</v>
      </c>
      <c r="G40" s="8" t="n">
        <v>0.895</v>
      </c>
      <c r="H40" s="2"/>
      <c r="I40" s="2"/>
      <c r="J40" s="2"/>
      <c r="K40" s="2"/>
      <c r="L40" s="2"/>
      <c r="M40" s="2"/>
    </row>
    <row r="41" customFormat="false" ht="15" hidden="false" customHeight="false" outlineLevel="0" collapsed="false">
      <c r="A41" s="29" t="n">
        <v>12</v>
      </c>
      <c r="B41" s="30" t="n">
        <f aca="false">AVERAGE($A41*(($B$16*(1-B$40-$B$18))-$B$20)*(1-Inputs!$B$32)/$B$22+$B$25,($K$11*($B$16*(1-B$40-$B$18))-$B$26)/$B$22)-Inputs!$B$27</f>
        <v>8.70764624452213</v>
      </c>
      <c r="C41" s="30" t="n">
        <f aca="false">AVERAGE($A41*(($B$16*(1-C$40-$B$18))-$B$20)*(1-Inputs!$B$32)/$B$22+$B$25,($K$11*($B$16*(1-C$40-$B$18))-$B$26)/$B$22)-Inputs!$B$27</f>
        <v>7.34266997341081</v>
      </c>
      <c r="D41" s="30" t="n">
        <f aca="false">AVERAGE($A41*(($B$16*(1-D$40-$B$18))-$B$20)*(1-Inputs!$B$32)/$B$22+$B$25,($K$11*($B$16*(1-D$40-$B$18))-$B$26)/$B$22)-Inputs!$B$27</f>
        <v>6.25068895652175</v>
      </c>
      <c r="E41" s="30" t="n">
        <f aca="false">AVERAGE($A41*(($B$16*(1-E$40-$B$18))-$B$20)*(1-Inputs!$B$32)/$B$22+$B$25,($K$11*($B$16*(1-E$40-$B$18))-$B$26)/$B$22)-Inputs!$B$27</f>
        <v>4.61271743118816</v>
      </c>
      <c r="F41" s="30" t="n">
        <f aca="false">AVERAGE($A41*(($B$16*(1-F$40-$B$18))-$B$20)*(1-Inputs!$B$32)/$B$22+$B$25,($K$11*($B$16*(1-F$40-$B$18))-$B$26)/$B$22)-Inputs!$B$27</f>
        <v>3.24774116007684</v>
      </c>
      <c r="G41" s="30" t="n">
        <f aca="false">AVERAGE($A41*(($B$16*(1-G$40-$B$18))-$B$20)*(1-Inputs!$B$32)/$B$22+$B$25,($K$11*($B$16*(1-G$40-$B$18))-$B$26)/$B$22)-Inputs!$B$27</f>
        <v>1.88276488896552</v>
      </c>
      <c r="H41" s="2"/>
      <c r="I41" s="2"/>
      <c r="J41" s="2"/>
      <c r="K41" s="2"/>
      <c r="L41" s="2"/>
      <c r="M41" s="2"/>
    </row>
    <row r="42" customFormat="false" ht="15" hidden="false" customHeight="false" outlineLevel="0" collapsed="false">
      <c r="A42" s="29" t="n">
        <v>13</v>
      </c>
      <c r="B42" s="30" t="n">
        <f aca="false">AVERAGE($A42*(($B$16*(1-B$40-$B$18))-$B$20)*(1-Inputs!$B$32)/$B$22+$B$25,($K$11*($B$16*(1-B$40-$B$18))-$B$26)/$B$22)-Inputs!$B$27</f>
        <v>9.06436378349104</v>
      </c>
      <c r="C42" s="30" t="n">
        <f aca="false">AVERAGE($A42*(($B$16*(1-C$40-$B$18))-$B$20)*(1-Inputs!$B$32)/$B$22+$B$25,($K$11*($B$16*(1-C$40-$B$18))-$B$26)/$B$22)-Inputs!$B$27</f>
        <v>7.64368970745513</v>
      </c>
      <c r="D42" s="30" t="n">
        <f aca="false">AVERAGE($A42*(($B$16*(1-D$40-$B$18))-$B$20)*(1-Inputs!$B$32)/$B$22+$B$25,($K$11*($B$16*(1-D$40-$B$18))-$B$26)/$B$22)-Inputs!$B$27</f>
        <v>6.5071504466264</v>
      </c>
      <c r="E42" s="30" t="n">
        <f aca="false">AVERAGE($A42*(($B$16*(1-E$40-$B$18))-$B$20)*(1-Inputs!$B$32)/$B$22+$B$25,($K$11*($B$16*(1-E$40-$B$18))-$B$26)/$B$22)-Inputs!$B$27</f>
        <v>4.80234155538331</v>
      </c>
      <c r="F42" s="30" t="n">
        <f aca="false">AVERAGE($A42*(($B$16*(1-F$40-$B$18))-$B$20)*(1-Inputs!$B$32)/$B$22+$B$25,($K$11*($B$16*(1-F$40-$B$18))-$B$26)/$B$22)-Inputs!$B$27</f>
        <v>3.3816674793474</v>
      </c>
      <c r="G42" s="30" t="n">
        <f aca="false">AVERAGE($A42*(($B$16*(1-G$40-$B$18))-$B$20)*(1-Inputs!$B$32)/$B$22+$B$25,($K$11*($B$16*(1-G$40-$B$18))-$B$26)/$B$22)-Inputs!$B$27</f>
        <v>1.9609934033115</v>
      </c>
      <c r="H42" s="2"/>
      <c r="I42" s="2"/>
      <c r="J42" s="2"/>
      <c r="K42" s="2"/>
      <c r="L42" s="2"/>
      <c r="M42" s="2"/>
    </row>
    <row r="43" customFormat="false" ht="15" hidden="false" customHeight="false" outlineLevel="0" collapsed="false">
      <c r="A43" s="29" t="n">
        <v>14.5</v>
      </c>
      <c r="B43" s="30" t="n">
        <f aca="false">AVERAGE($A43*(($B$16*(1-B$40-$B$18))-$B$20)*(1-Inputs!$B$32)/$B$22+$B$25,($K$11*($B$16*(1-B$40-$B$18))-$B$26)/$B$22)-Inputs!$B$27</f>
        <v>9.5994400919444</v>
      </c>
      <c r="C43" s="30" t="n">
        <f aca="false">AVERAGE($A43*(($B$16*(1-C$40-$B$18))-$B$20)*(1-Inputs!$B$32)/$B$22+$B$25,($K$11*($B$16*(1-C$40-$B$18))-$B$26)/$B$22)-Inputs!$B$27</f>
        <v>8.09521930852161</v>
      </c>
      <c r="D43" s="30" t="n">
        <f aca="false">AVERAGE($A43*(($B$16*(1-D$40-$B$18))-$B$20)*(1-Inputs!$B$32)/$B$22+$B$25,($K$11*($B$16*(1-D$40-$B$18))-$B$26)/$B$22)-Inputs!$B$27</f>
        <v>6.89184268178338</v>
      </c>
      <c r="E43" s="30" t="n">
        <f aca="false">AVERAGE($A43*(($B$16*(1-E$40-$B$18))-$B$20)*(1-Inputs!$B$32)/$B$22+$B$25,($K$11*($B$16*(1-E$40-$B$18))-$B$26)/$B$22)-Inputs!$B$27</f>
        <v>5.08677774167604</v>
      </c>
      <c r="F43" s="30" t="n">
        <f aca="false">AVERAGE($A43*(($B$16*(1-F$40-$B$18))-$B$20)*(1-Inputs!$B$32)/$B$22+$B$25,($K$11*($B$16*(1-F$40-$B$18))-$B$26)/$B$22)-Inputs!$B$27</f>
        <v>3.58255695825325</v>
      </c>
      <c r="G43" s="30" t="n">
        <f aca="false">AVERAGE($A43*(($B$16*(1-G$40-$B$18))-$B$20)*(1-Inputs!$B$32)/$B$22+$B$25,($K$11*($B$16*(1-G$40-$B$18))-$B$26)/$B$22)-Inputs!$B$27</f>
        <v>2.07833617483046</v>
      </c>
      <c r="H43" s="2"/>
      <c r="I43" s="2"/>
      <c r="J43" s="2"/>
      <c r="K43" s="2"/>
      <c r="L43" s="2"/>
      <c r="M43" s="2"/>
    </row>
    <row r="44" customFormat="false" ht="15" hidden="false" customHeight="false" outlineLevel="0" collapsed="false">
      <c r="A44" s="29" t="n">
        <v>16</v>
      </c>
      <c r="B44" s="30" t="n">
        <f aca="false">AVERAGE($A44*(($B$16*(1-B$40-$B$18))-$B$20)*(1-Inputs!$B$32)/$B$22+$B$25,($K$11*($B$16*(1-B$40-$B$18))-$B$26)/$B$22)-Inputs!$B$27</f>
        <v>10.1345164003978</v>
      </c>
      <c r="C44" s="30" t="n">
        <f aca="false">AVERAGE($A44*(($B$16*(1-C$40-$B$18))-$B$20)*(1-Inputs!$B$32)/$B$22+$B$25,($K$11*($B$16*(1-C$40-$B$18))-$B$26)/$B$22)-Inputs!$B$27</f>
        <v>8.5467489095881</v>
      </c>
      <c r="D44" s="30" t="n">
        <f aca="false">AVERAGE($A44*(($B$16*(1-D$40-$B$18))-$B$20)*(1-Inputs!$B$32)/$B$22+$B$25,($K$11*($B$16*(1-D$40-$B$18))-$B$26)/$B$22)-Inputs!$B$27</f>
        <v>7.27653491694036</v>
      </c>
      <c r="E44" s="30" t="n">
        <f aca="false">AVERAGE($A44*(($B$16*(1-E$40-$B$18))-$B$20)*(1-Inputs!$B$32)/$B$22+$B$25,($K$11*($B$16*(1-E$40-$B$18))-$B$26)/$B$22)-Inputs!$B$27</f>
        <v>5.37121392796876</v>
      </c>
      <c r="F44" s="30" t="n">
        <f aca="false">AVERAGE($A44*(($B$16*(1-F$40-$B$18))-$B$20)*(1-Inputs!$B$32)/$B$22+$B$25,($K$11*($B$16*(1-F$40-$B$18))-$B$26)/$B$22)-Inputs!$B$27</f>
        <v>3.78344643715909</v>
      </c>
      <c r="G44" s="30" t="n">
        <f aca="false">AVERAGE($A44*(($B$16*(1-G$40-$B$18))-$B$20)*(1-Inputs!$B$32)/$B$22+$B$25,($K$11*($B$16*(1-G$40-$B$18))-$B$26)/$B$22)-Inputs!$B$27</f>
        <v>2.19567894634942</v>
      </c>
      <c r="H44" s="2"/>
      <c r="I44" s="2"/>
      <c r="J44" s="2"/>
      <c r="K44" s="2"/>
      <c r="L44" s="2"/>
      <c r="M44" s="2"/>
    </row>
    <row r="45" customFormat="false" ht="15" hidden="false" customHeight="false" outlineLevel="0" collapsed="false">
      <c r="A45" s="29" t="n">
        <v>17</v>
      </c>
      <c r="B45" s="30" t="n">
        <f aca="false">AVERAGE($A45*(($B$16*(1-B$40-$B$18))-$B$20)*(1-Inputs!$B$32)/$B$22+$B$25,($K$11*($B$16*(1-B$40-$B$18))-$B$26)/$B$22)-Inputs!$B$27</f>
        <v>10.4912339393667</v>
      </c>
      <c r="C45" s="30" t="n">
        <f aca="false">AVERAGE($A45*(($B$16*(1-C$40-$B$18))-$B$20)*(1-Inputs!$B$32)/$B$22+$B$25,($K$11*($B$16*(1-C$40-$B$18))-$B$26)/$B$22)-Inputs!$B$27</f>
        <v>8.84776864363242</v>
      </c>
      <c r="D45" s="30" t="n">
        <f aca="false">AVERAGE($A45*(($B$16*(1-D$40-$B$18))-$B$20)*(1-Inputs!$B$32)/$B$22+$B$25,($K$11*($B$16*(1-D$40-$B$18))-$B$26)/$B$22)-Inputs!$B$27</f>
        <v>7.53299640704501</v>
      </c>
      <c r="E45" s="30" t="n">
        <f aca="false">AVERAGE($A45*(($B$16*(1-E$40-$B$18))-$B$20)*(1-Inputs!$B$32)/$B$22+$B$25,($K$11*($B$16*(1-E$40-$B$18))-$B$26)/$B$22)-Inputs!$B$27</f>
        <v>5.56083805216391</v>
      </c>
      <c r="F45" s="30" t="n">
        <f aca="false">AVERAGE($A45*(($B$16*(1-F$40-$B$18))-$B$20)*(1-Inputs!$B$32)/$B$22+$B$25,($K$11*($B$16*(1-F$40-$B$18))-$B$26)/$B$22)-Inputs!$B$27</f>
        <v>3.91737275642965</v>
      </c>
      <c r="G45" s="30" t="n">
        <f aca="false">AVERAGE($A45*(($B$16*(1-G$40-$B$18))-$B$20)*(1-Inputs!$B$32)/$B$22+$B$25,($K$11*($B$16*(1-G$40-$B$18))-$B$26)/$B$22)-Inputs!$B$27</f>
        <v>2.2739074606954</v>
      </c>
      <c r="H45" s="2"/>
      <c r="I45" s="2"/>
      <c r="J45" s="2"/>
      <c r="K45" s="2"/>
      <c r="L45" s="2"/>
      <c r="M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5" hidden="false" customHeight="false" outlineLevel="0" collapsed="false">
      <c r="A48" s="1" t="s">
        <v>289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" hidden="false" customHeight="false" outlineLevel="0" collapsed="false">
      <c r="A49" s="3" t="s">
        <v>290</v>
      </c>
      <c r="B49" s="3" t="s">
        <v>291</v>
      </c>
      <c r="C49" s="3" t="s">
        <v>292</v>
      </c>
      <c r="D49" s="3" t="s">
        <v>293</v>
      </c>
      <c r="E49" s="3" t="s">
        <v>294</v>
      </c>
      <c r="F49" s="2"/>
      <c r="G49" s="2"/>
      <c r="H49" s="2"/>
      <c r="I49" s="2"/>
      <c r="J49" s="2"/>
      <c r="K49" s="2"/>
      <c r="L49" s="2"/>
      <c r="M49" s="2"/>
    </row>
    <row r="50" customFormat="false" ht="15" hidden="false" customHeight="false" outlineLevel="0" collapsed="false">
      <c r="A50" s="2" t="s">
        <v>108</v>
      </c>
      <c r="B50" s="28" t="n">
        <f aca="false">'MBR Bridge'!B12</f>
        <v>0.893442080794731</v>
      </c>
      <c r="C50" s="20" t="n">
        <f aca="false">($B$16*(1-B50-$B$18))</f>
        <v>107.220493308961</v>
      </c>
      <c r="D50" s="30" t="n">
        <f aca="false">(($B$16*(1-B50-$B$18))-$B$20)/$B$22</f>
        <v>0.251534343006963</v>
      </c>
      <c r="E50" s="30" t="n">
        <f aca="false">AVERAGE($B$23*(($B$16*(1-B50-$B$18))-$B$20)*(1-Inputs!$B$32)/$B$22+$B$25,($B$24*($B$16*(1-B50-$B$18))-$B$26)/$B$22)-Inputs!$B$27</f>
        <v>2.54398885343439</v>
      </c>
      <c r="F50" s="2"/>
      <c r="G50" s="2"/>
      <c r="H50" s="2"/>
      <c r="I50" s="2"/>
      <c r="J50" s="2"/>
      <c r="K50" s="2"/>
      <c r="L50" s="2"/>
      <c r="M50" s="2"/>
    </row>
    <row r="51" customFormat="false" ht="15" hidden="false" customHeight="false" outlineLevel="0" collapsed="false">
      <c r="A51" s="2" t="s">
        <v>109</v>
      </c>
      <c r="B51" s="28" t="n">
        <f aca="false">'MBR Bridge'!C12</f>
        <v>0.878107152152697</v>
      </c>
      <c r="C51" s="20" t="n">
        <f aca="false">($B$16*(1-B51-$B$18))</f>
        <v>206.521534307718</v>
      </c>
      <c r="D51" s="30" t="n">
        <f aca="false">(($B$16*(1-B51-$B$18))-$B$20)/$B$22</f>
        <v>0.701072166184034</v>
      </c>
      <c r="E51" s="30" t="n">
        <f aca="false">AVERAGE($B$23*(($B$16*(1-B51-$B$18))-$B$20)*(1-Inputs!$B$32)/$B$22+$B$25,($B$24*($B$16*(1-B51-$B$18))-$B$26)/$B$22)-Inputs!$B$27</f>
        <v>7.1519826906644</v>
      </c>
      <c r="F51" s="2"/>
      <c r="G51" s="2"/>
      <c r="H51" s="2"/>
      <c r="I51" s="2"/>
      <c r="J51" s="2"/>
      <c r="K51" s="2"/>
      <c r="L51" s="2"/>
      <c r="M51" s="2"/>
    </row>
    <row r="52" customFormat="false" ht="15" hidden="false" customHeight="false" outlineLevel="0" collapsed="false">
      <c r="A52" s="2" t="s">
        <v>110</v>
      </c>
      <c r="B52" s="28" t="n">
        <f aca="false">'MBR Bridge'!D12</f>
        <v>0.869795155888973</v>
      </c>
      <c r="C52" s="20" t="n">
        <f aca="false">($B$16*(1-B52-$B$18))</f>
        <v>260.345709237573</v>
      </c>
      <c r="D52" s="30" t="n">
        <f aca="false">(($B$16*(1-B52-$B$18))-$B$20)/$B$22</f>
        <v>0.944735295884472</v>
      </c>
      <c r="E52" s="30" t="n">
        <f aca="false">AVERAGE($B$23*(($B$16*(1-B52-$B$18))-$B$20)*(1-Inputs!$B$32)/$B$22+$B$25,($B$24*($B$16*(1-B52-$B$18))-$B$26)/$B$22)-Inputs!$B$27</f>
        <v>9.64965506022058</v>
      </c>
      <c r="F52" s="2"/>
      <c r="G52" s="2"/>
      <c r="H52" s="2"/>
      <c r="I52" s="2"/>
      <c r="J52" s="2"/>
      <c r="K52" s="2"/>
      <c r="L52" s="2"/>
      <c r="M5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2026-10-17T15:18:05Z</dcterms:created>
  <dc:creator>openpyxl</dc:creator>
  <dc:description/>
  <dc:language>en-US</dc:language>
  <cp:lastModifiedBy/>
  <dcterms:modified xsi:type="dcterms:W3CDTF">2026-10-17T15:18:05Z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